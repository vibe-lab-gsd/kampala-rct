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3 route list" sheetId="1" r:id="rId4"/>
    <sheet state="visible" name="stage roster" sheetId="2" r:id="rId5"/>
  </sheets>
  <definedNames>
    <definedName hidden="1" localSheetId="0" name="_xlnm._FilterDatabase">'phase 3 route list'!$A$48</definedName>
    <definedName hidden="1" localSheetId="1" name="_xlnm._FilterDatabase">'stage roster'!$A$1:$AJ$898</definedName>
  </definedNames>
  <calcPr/>
  <extLst>
    <ext uri="GoogleSheetsCustomDataVersion2">
      <go:sheetsCustomData xmlns:go="http://customooxmlschemas.google.com/" r:id="rId6" roundtripDataChecksum="NBsZdyRmvEiyJjgelqwWy86iHAqrPVPYXlIMXnhmsr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
ID#AAABte8IFjc
Gray Collins    (2025-11-26 14:49:54)
Include OTHER branch of Entebbe stage</t>
      </text>
    </comment>
    <comment authorId="0" ref="O77">
      <text>
        <t xml:space="preserve">======
ID#AAABwt4_6qs
Gray Collins    (2025-11-25 19:31:19)
Too long</t>
      </text>
    </comment>
    <comment authorId="0" ref="O101">
      <text>
        <t xml:space="preserve">======
ID#AAABwt4_6qU
Gray Collins    (2025-11-25 19:10:14)
exclude - the Nateete branch of this stage has more departures</t>
      </text>
    </comment>
    <comment authorId="0" ref="O110">
      <text>
        <t xml:space="preserve">======
ID#AAABwt4_6qM
Gray Collins    (2025-11-25 19:09:11)
Exclude - the more important branch for stage 2 seems ot be at Nateete</t>
      </text>
    </comment>
    <comment authorId="0" ref="J20">
      <text>
        <t xml:space="preserve">======
ID#AAABwvAA3ys
Gray Collins    (2025-11-25 14:48:38)
can't find this on google maps</t>
      </text>
    </comment>
    <comment authorId="0" ref="J1">
      <text>
        <t xml:space="preserve">======
ID#AAABwu3vcmw
Gray Collins    (2025-11-25 14:44:13)
Where route length was not available from the census, I calculated a routebetween the two points using Google Maps</t>
      </text>
    </comment>
    <comment authorId="0" ref="K77">
      <text>
        <t xml:space="preserve">======
ID#AAABwsJf4Ik
Gray Collins    (2025-11-24 19:42:52)
Changed - originally 25,000
------
ID#AAABwu3vcmo
Sumaiya Kibz    (2025-11-25 14:09:52)
it is 25000, it's a long trip
------
ID#AAABwu3vcms
Gray Collins    (2025-11-25 14:41:28)
Ah I see, thank you so much for correcting!</t>
      </text>
    </comment>
    <comment authorId="0" ref="Q14">
      <text>
        <t xml:space="preserve">======
ID#AAABwr7aXYs
Gray Collins    (2025-11-24 19:13:31)
very slow in the morning and very fast in the evening</t>
      </text>
    </comment>
    <comment authorId="0" ref="P103">
      <text>
        <t xml:space="preserve">======
ID#AAABwrPCopo
Gray Collins    (2025-11-24 17:33:00)
Possibly could do 2-5 pm, targeting 15 min headways?</t>
      </text>
    </comment>
    <comment authorId="0" ref="P99">
      <text>
        <t xml:space="preserve">======
ID#AAABwrPCopk
Gray Collins    (2025-11-24 17:30:57)
Maybe could work with 11-6? But there is a lot of variance in headway times.</t>
      </text>
    </comment>
    <comment authorId="0" ref="P27">
      <text>
        <t xml:space="preserve">======
ID#AAABwrPCopg
Gray Collins    (2025-11-24 17:27:15)
Maybe we could work with it 12-4, targeting 15-20 min?</t>
      </text>
    </comment>
    <comment authorId="0" ref="P114">
      <text>
        <t xml:space="preserve">======
ID#AAABwrPCopQ
Gray Collins    (2025-11-24 16:56:40)
Seems too slow? There are very few observations</t>
      </text>
    </comment>
    <comment authorId="0" ref="Q112">
      <text>
        <t xml:space="preserve">======
ID#AAABwrPCopE
Gray Collins    (2025-11-24 16:40:17)
Could restrict to 9am-1pm and target 30-35 mins headways</t>
      </text>
    </comment>
    <comment authorId="0" ref="P74">
      <text>
        <t xml:space="preserve">======
ID#AAABwrPCopA
Gray Collins    (2025-11-24 16:34:55)
Vehicles typically depart before they are full (mean: 6.6 passengers)</t>
      </text>
    </comment>
    <comment authorId="0" ref="P49">
      <text>
        <t xml:space="preserve">======
ID#AAABwrPCoo8
Gray Collins    (2025-11-24 16:33:34)
Vehicles typically depart before they are full (mean: 9.6 passengers)
------
ID#AAABwt4_6p0
Gray Collins    (2025-11-25 18:29:56)
Should this be factored into payment calculations?</t>
      </text>
    </comment>
    <comment authorId="0" ref="P37">
      <text>
        <t xml:space="preserve">======
ID#AAABwrPCoo4
Gray Collins    (2025-11-24 16:33:10)
Vehicles typically depart before they are full (mean: 6.6 passengers)</t>
      </text>
    </comment>
    <comment authorId="0" ref="P35">
      <text>
        <t xml:space="preserve">======
ID#AAABwrPCoo0
Gray Collins    (2025-11-24 16:32:22)
Vehicles always depart before they are full (mean: 3.9 passengers)</t>
      </text>
    </comment>
    <comment authorId="0" ref="P119">
      <text>
        <t xml:space="preserve">======
ID#AAABwrPCoow
Gray Collins    (2025-11-24 16:31:25)
Vehicles typically depart this stage before filling up (mean: 5.5 passengers, IQR=4)</t>
      </text>
    </comment>
    <comment authorId="0" ref="P110">
      <text>
        <t xml:space="preserve">======
ID#AAABwrPCoos
Gray Collins    (2025-11-24 16:30:08)
Vehicles typically depart this stage before filling up (mean: 4.2 passengers, range: 1-8 passengers)</t>
      </text>
    </comment>
    <comment authorId="0" ref="P101">
      <text>
        <t xml:space="preserve">======
ID#AAABwrPCooo
Gray Collins    (2025-11-24 16:28:48)
Guide data suggests vehicles typically depart this stage before they are full (mean passengers: 4.6, range: 2-10)</t>
      </text>
    </comment>
    <comment authorId="0" ref="P94">
      <text>
        <t xml:space="preserve">======
ID#AAABwrPCooc
Gray Collins    (2025-11-24 16:21:42)
Lots of variation in headway times; Vehicles usually depart before they are full (mean: 3.6 passengers, 25th percentile = 2, 75th percentile = 5)</t>
      </text>
    </comment>
    <comment authorId="0" ref="Q92">
      <text>
        <t xml:space="preserve">======
ID#AAABwrPCooY
Gray Collins    (2025-11-24 16:19:32)
Seems OK 9am-4pm (after 4pm, headways are ~30min; before 4pm, headways vary but 25th pctile is &gt;=30min)</t>
      </text>
    </comment>
    <comment authorId="0" ref="O90">
      <text>
        <t xml:space="preserve">======
ID#AAABwrPCooU
Gray Collins    (2025-11-24 16:18:22)
Exclude? - see Comments</t>
      </text>
    </comment>
    <comment authorId="0" ref="P87">
      <text>
        <t xml:space="preserve">======
ID#AAABwrPCooM
Gray Collins    (2025-11-24 16:16:51)
I think it's OK - the routes do not appear to start running until around 11AM; the descriptive survey suggests 2hr PM headways, but headway plots suggest 1-1.5 hrs</t>
      </text>
    </comment>
    <comment authorId="0" ref="P22">
      <text>
        <t xml:space="preserve">======
ID#AAABwrPCon8
Gray Collins    (2025-11-24 16:11:26)
This is the only route at this stage which sometimes has single-route departures, but more often it looks merged.
------
ID#AAABwrPCooA
Gray Collins    (2025-11-24 16:12:07)
For treatment, should we have two routes? (which can merge if desired):
1. Lubugumu-Aiden-Zzana (merged) 
2. Kajjansi Town</t>
      </text>
    </comment>
    <comment authorId="0" ref="P20">
      <text>
        <t xml:space="preserve">======
ID#AAABwrPCon4
Gray Collins    (2025-11-24 16:10:35)
It seems like vehicles don't really use this route (it's only selected in one day's guide form, and always merged)</t>
      </text>
    </comment>
    <comment authorId="0" ref="P14">
      <text>
        <t xml:space="preserve">======
ID#AAABwrPCon0
Gray Collins    (2025-11-24 16:09:29)
Headways are sharply decreasing throughout the day, so probably too tight</t>
      </text>
    </comment>
    <comment authorId="0" ref="S74">
      <text>
        <t xml:space="preserve">======
ID#AAABwrPCons
Gray Collins    (2025-11-24 15:53:03)
could be more feasible 9-1 with 35 mins target?</t>
      </text>
    </comment>
    <comment authorId="0" ref="P71">
      <text>
        <t xml:space="preserve">======
ID#AAABwrPCono
Gray Collins    (2025-11-24 15:50:38)
Exclude both Luzira &amp; Mutungo Bina? Same patterns at both stages; too fast in the morning but very few departures in the afternoon</t>
      </text>
    </comment>
    <comment authorId="0" ref="P57">
      <text>
        <t xml:space="preserve">======
ID#AAABwrPConk
Gray Collins    (2025-11-24 15:50:30)
Exclude both Luzira &amp; Mutungo Bina? Same patterns at both stages; too fast in the morning but very few departures in the afternoon</t>
      </text>
    </comment>
    <comment authorId="0" ref="P43">
      <text>
        <t xml:space="preserve">======
ID#AAABwrPConc
Gray Collins    (2025-11-24 15:47:36)
No departures observed on this route</t>
      </text>
    </comment>
    <comment authorId="0" ref="S35">
      <text>
        <t xml:space="preserve">======
ID#AAABwrPConU
Gray Collins    (2025-11-24 15:44:51)
maybe 20-25 min?</t>
      </text>
    </comment>
    <comment authorId="0" ref="P19">
      <text>
        <t xml:space="preserve">======
ID#AAABwrPConM
Gray Collins    (2025-11-24 15:40:23)
I think this stage is OK</t>
      </text>
    </comment>
    <comment authorId="0" ref="Q17">
      <text>
        <t xml:space="preserve">======
ID#AAABwrPConE
Gray Collins    (2025-11-24 15:39:33)
Likely too tight? First departures are after 9am and headways are ~30min after 1pm
------
ID#AAABwt4_6pw
Gray Collins    (2025-11-25 18:29:04)
Could we split the window - every 25 min 11-1, and every 15 min after 1?
Alternatively, since average freq is every 30min &amp; stable after 2pm, should we change the window to 2pm-6pm?</t>
      </text>
    </comment>
    <comment authorId="0" ref="Q8">
      <text>
        <t xml:space="preserve">======
ID#AAABwrPConA
Gray Collins    (2025-11-24 15:36:37)
May be able to extend past 3pm = guide data suggests that the other route starts a bit after 3pm, possibly around 5pm
------
ID#AAABwr7aXYo
Gray Collins    (2025-11-24 19:13:20)
note-3pm coincides with when other route is opened</t>
      </text>
    </comment>
    <comment authorId="0" ref="S5">
      <text>
        <t xml:space="preserve">======
ID#AAABwrPCom8
Gray Collins    (2025-11-24 15:34:54)
headways are very variable on this route
------
ID#AAABwt4_6ps
Gray Collins    (2025-11-25 18:26:50)
Should we split this into 2 windows, every 60 min 2pm-4pm, then every 30 min 4pm-6pm?</t>
      </text>
    </comment>
    <comment authorId="0" ref="Q2">
      <text>
        <t xml:space="preserve">======
ID#AAABwrPCom0
Gray Collins    (2025-11-24 15:32:56)
Is Nyanama @ valley actually too slow for treatment until after 16:00? https://drive.google.com/file/d/1LLnVs-sTdS6KQRaS2tRbvwCeHo4u6Mg_/view?usp=sharing</t>
      </text>
    </comment>
    <comment authorId="0" ref="C37">
      <text>
        <t xml:space="preserve">======
ID#AAABurmyd2Q
Gray Collins    (2025-11-03 21:13:28)
in descriptive survey, we have this route at 139: Kawempe</t>
      </text>
    </comment>
  </commentList>
  <extLst>
    <ext uri="GoogleSheetsCustomDataVersion2">
      <go:sheetsCustomData xmlns:go="http://customooxmlschemas.google.com/" r:id="rId1" roundtripDataSignature="AMtx7mgcyTq4C46jXkqCH3dsGL0lz4b8B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28">
      <text>
        <t xml:space="preserve">======
ID#AAABte8IFjw
Sumaiya Kibz    (2025-11-26 16:12:47)
said its on short notice, they need to first meet with Mr. sekindi the utof top leader to discuss with him on this, that we are stating the intervention on Monday we can start without them, they will join in the next phase.</t>
      </text>
    </comment>
  </commentList>
  <extLst>
    <ext uri="GoogleSheetsCustomDataVersion2">
      <go:sheetsCustomData xmlns:go="http://customooxmlschemas.google.com/" r:id="rId1" roundtripDataSignature="AMtx7mgg00ENOXzuaUYfSka7NXE+qe4Ybw=="/>
    </ext>
  </extLst>
</comments>
</file>

<file path=xl/sharedStrings.xml><?xml version="1.0" encoding="utf-8"?>
<sst xmlns="http://schemas.openxmlformats.org/spreadsheetml/2006/main" count="1474" uniqueCount="518">
  <si>
    <t>Taxi park</t>
  </si>
  <si>
    <t>Stage</t>
  </si>
  <si>
    <t>branch_code</t>
  </si>
  <si>
    <t>queue_code</t>
  </si>
  <si>
    <t>stage_code</t>
  </si>
  <si>
    <t>Routes</t>
  </si>
  <si>
    <t>route_code</t>
  </si>
  <si>
    <t>census_route_id</t>
  </si>
  <si>
    <t>Route length</t>
  </si>
  <si>
    <t>fares</t>
  </si>
  <si>
    <t>morning frequency</t>
  </si>
  <si>
    <t>Afternoon frequency</t>
  </si>
  <si>
    <t>Evening frequency</t>
  </si>
  <si>
    <t>final-ish decision (for stage meetings)</t>
  </si>
  <si>
    <t>viable for intervention?</t>
  </si>
  <si>
    <t>possible window</t>
  </si>
  <si>
    <t>proposed time window</t>
  </si>
  <si>
    <t>target frequencies</t>
  </si>
  <si>
    <t>Comments</t>
  </si>
  <si>
    <t>Valley park</t>
  </si>
  <si>
    <t>Nyanama</t>
  </si>
  <si>
    <t>10</t>
  </si>
  <si>
    <t>9</t>
  </si>
  <si>
    <t>Nyanama Nfuufu(Mukaaga)</t>
  </si>
  <si>
    <t>NYAN-NYAN-VALL</t>
  </si>
  <si>
    <t>KAMANYA MARK 1</t>
  </si>
  <si>
    <t>7 hrs</t>
  </si>
  <si>
    <t>2 hrs</t>
  </si>
  <si>
    <t>40 mins</t>
  </si>
  <si>
    <t>exclude</t>
  </si>
  <si>
    <t>yes</t>
  </si>
  <si>
    <t>1:30-4pm</t>
  </si>
  <si>
    <t>30-40 mins</t>
  </si>
  <si>
    <t>First vehicle that starts loading early morning leaves in the afternoon at around 2:00pm</t>
  </si>
  <si>
    <t>Entebbe</t>
  </si>
  <si>
    <t>8</t>
  </si>
  <si>
    <t>Kitooro</t>
  </si>
  <si>
    <t>ENTE-KITO-VALL</t>
  </si>
  <si>
    <t>KAWOOYA HAMIDU 1</t>
  </si>
  <si>
    <t>20 mins</t>
  </si>
  <si>
    <t>10 mins</t>
  </si>
  <si>
    <t>no -- too fast</t>
  </si>
  <si>
    <t>Bwerenga</t>
  </si>
  <si>
    <t>ENTE-BWER-VALL</t>
  </si>
  <si>
    <t>KAWOOYA HAMIDU 3</t>
  </si>
  <si>
    <t>1 hr</t>
  </si>
  <si>
    <t>yes -- maybe too slow?</t>
  </si>
  <si>
    <t>2pm-6pm</t>
  </si>
  <si>
    <t>30-45 mins</t>
  </si>
  <si>
    <t>Kajjansi</t>
  </si>
  <si>
    <t>ENTE-KAJJ-VALL</t>
  </si>
  <si>
    <t>no -- viable time interval too short</t>
  </si>
  <si>
    <t>Starts loading at 3pm</t>
  </si>
  <si>
    <t>Nateete Kyengera Nsangi Maya</t>
  </si>
  <si>
    <t>7</t>
  </si>
  <si>
    <t>6</t>
  </si>
  <si>
    <t>Maya (via Nateete Busega)</t>
  </si>
  <si>
    <t>NATE-NATE-VALL</t>
  </si>
  <si>
    <t>KIGOZI VVAKUBANTU 1</t>
  </si>
  <si>
    <t>include</t>
  </si>
  <si>
    <t>10am-3pm</t>
  </si>
  <si>
    <t>10am-2pm</t>
  </si>
  <si>
    <t>30 mins</t>
  </si>
  <si>
    <t>Maya (via Kabojja University)</t>
  </si>
  <si>
    <t>NATE-KABO-VALL</t>
  </si>
  <si>
    <t>KIGOZI VVAKUBANTU 2</t>
  </si>
  <si>
    <t>likely no? viable window too tight</t>
  </si>
  <si>
    <t>Route starts operating at 3:00pm</t>
  </si>
  <si>
    <t>Salaama Munyonyo</t>
  </si>
  <si>
    <t>11</t>
  </si>
  <si>
    <t>Luwafu</t>
  </si>
  <si>
    <t>SALA-LUWA-VALL</t>
  </si>
  <si>
    <t>LUTAAYA MUZAFALU 2</t>
  </si>
  <si>
    <t>2hrs</t>
  </si>
  <si>
    <t>special sort of stage (read comment column) -- could treatment have a big impact here by getting things started before 4/5pm, given loading starts at 2pm?</t>
  </si>
  <si>
    <t>They put the signpost on the vehicle from morning, but actual loading starts at 2pm, the first vehicle in the day departs around 4pm.
Routes are merged for the first vehicle and usually unmerged after the first vehicle departs</t>
  </si>
  <si>
    <t>Munyonyo</t>
  </si>
  <si>
    <t>SALA-MUNY-VALL</t>
  </si>
  <si>
    <t>LUTAAYA MUZAFALU 1</t>
  </si>
  <si>
    <t>Ndejje</t>
  </si>
  <si>
    <t>2</t>
  </si>
  <si>
    <t>Lubugumu</t>
  </si>
  <si>
    <t>NDEJ-LUBU-VALL</t>
  </si>
  <si>
    <t>LUTAAYA RICHARD 1</t>
  </si>
  <si>
    <t>4 hrs</t>
  </si>
  <si>
    <t>yes (although treatment window might be too tight)</t>
  </si>
  <si>
    <t>12pm-3pm</t>
  </si>
  <si>
    <t>Kivule</t>
  </si>
  <si>
    <t>NDEJ-KIVU-VALL</t>
  </si>
  <si>
    <t>LUTAAYA RICHARD 5</t>
  </si>
  <si>
    <t>1.5 hrs</t>
  </si>
  <si>
    <t>route starts operating at 2pm</t>
  </si>
  <si>
    <t>Namasuba Zana</t>
  </si>
  <si>
    <t>Zana</t>
  </si>
  <si>
    <t>NAMA-ZANA-VALL</t>
  </si>
  <si>
    <t>LUKWAGO RASHID 1</t>
  </si>
  <si>
    <t>on the fence</t>
  </si>
  <si>
    <t>15 mins</t>
  </si>
  <si>
    <t>Passenger fare is 1500 from morning up to 4:00pm and there after it increases to 2000</t>
  </si>
  <si>
    <t>Bwaise</t>
  </si>
  <si>
    <t>Namasuba</t>
  </si>
  <si>
    <t>137_and_-7</t>
  </si>
  <si>
    <t>98</t>
  </si>
  <si>
    <t>NAMA-LUBU-BWAI</t>
  </si>
  <si>
    <t>3 hrs</t>
  </si>
  <si>
    <t>1-2hrs</t>
  </si>
  <si>
    <t>yes - possibly too slow</t>
  </si>
  <si>
    <t>10am-6pm</t>
  </si>
  <si>
    <t>45-60 mins</t>
  </si>
  <si>
    <t>All signposts are always merged through out the day due to low turn up of passenger.</t>
  </si>
  <si>
    <t>Aiden</t>
  </si>
  <si>
    <t>NAMA-AIDE-BWAI</t>
  </si>
  <si>
    <t>Zzana</t>
  </si>
  <si>
    <t>NAMA-ZANA-BWAI</t>
  </si>
  <si>
    <t>Kajjansi Town</t>
  </si>
  <si>
    <t>KAJJ-KAJJ-BWAI</t>
  </si>
  <si>
    <t>132</t>
  </si>
  <si>
    <t>Kitooro via Express</t>
  </si>
  <si>
    <t>ENTE-EXPR-BWAI</t>
  </si>
  <si>
    <t>KAWUMA ROGERS 2</t>
  </si>
  <si>
    <t>possible but likely no - huge variance</t>
  </si>
  <si>
    <t>9am-6pm</t>
  </si>
  <si>
    <t>9am-1pm</t>
  </si>
  <si>
    <t>Both routes have the same destination but do use different roads</t>
  </si>
  <si>
    <t>Kitooro via Kajjansi</t>
  </si>
  <si>
    <t>ENTE-KAJJ-BWAI</t>
  </si>
  <si>
    <t>KAWUMA ROGERS 1</t>
  </si>
  <si>
    <t>4000-5000-6000</t>
  </si>
  <si>
    <t>30 mins-1 hr</t>
  </si>
  <si>
    <t>Mukono Lugazi</t>
  </si>
  <si>
    <t>87</t>
  </si>
  <si>
    <t>68</t>
  </si>
  <si>
    <t>Mukono wantoni</t>
  </si>
  <si>
    <t>MUKO-MUKO-BWAI</t>
  </si>
  <si>
    <t>KAYANJA- RONALD 1</t>
  </si>
  <si>
    <t>no -- probably too fast</t>
  </si>
  <si>
    <t>12pm-4pm</t>
  </si>
  <si>
    <t>Lugazi Town</t>
  </si>
  <si>
    <t>MUKO-LUGA-BWAI</t>
  </si>
  <si>
    <t>maybe too slow?</t>
  </si>
  <si>
    <t>45 mins</t>
  </si>
  <si>
    <t>Bweyogerere</t>
  </si>
  <si>
    <t>91</t>
  </si>
  <si>
    <t>69</t>
  </si>
  <si>
    <t>Bweyogerere Town</t>
  </si>
  <si>
    <t>BWEY-BWEY-BWAI</t>
  </si>
  <si>
    <t>NDOHOZA ROBERT 1</t>
  </si>
  <si>
    <t>official name is Bweyogerere not kisaasi kiwatule namboole bweyogerere</t>
  </si>
  <si>
    <t>Namugongo</t>
  </si>
  <si>
    <t>133</t>
  </si>
  <si>
    <t>13</t>
  </si>
  <si>
    <t>Bulindo</t>
  </si>
  <si>
    <t>NAMU-BULI-BWAI</t>
  </si>
  <si>
    <t>BBOSA ANDREW 2</t>
  </si>
  <si>
    <t>3000-4000</t>
  </si>
  <si>
    <t>2-3 hrs</t>
  </si>
  <si>
    <t>2-4pm not operational</t>
  </si>
  <si>
    <t>no -- too slow</t>
  </si>
  <si>
    <t>routes are always merged between 7am-2pm, btn 2-4 pm Bulindo route doesnt operate so Bukerere route operates independently,btn 4pm upto late bulindo operates again independently</t>
  </si>
  <si>
    <t>Bukerere</t>
  </si>
  <si>
    <t>NAMU-BUKE-BWAI</t>
  </si>
  <si>
    <t>BBOSA ANDREW 1</t>
  </si>
  <si>
    <t>Buwambo Namere kitezi</t>
  </si>
  <si>
    <t>136</t>
  </si>
  <si>
    <t>86</t>
  </si>
  <si>
    <t>Buwambo</t>
  </si>
  <si>
    <t>BUWA-BUWA-BWAI</t>
  </si>
  <si>
    <t>KIZITO GODFREY 1</t>
  </si>
  <si>
    <t>8am-6pm</t>
  </si>
  <si>
    <t>Gayaza</t>
  </si>
  <si>
    <t>139</t>
  </si>
  <si>
    <t>Gayaza Town</t>
  </si>
  <si>
    <t>GAYA-GAYA-BWAI</t>
  </si>
  <si>
    <t>WALUKAGGA WALUKAGGA 1</t>
  </si>
  <si>
    <t>yes -- but headway plots don't match descriptive survey data. At the very least, morning/afternoon looks okay, but worried that reported headway in the afternoon is much faster than what we observed</t>
  </si>
  <si>
    <t>10am-6pm(?) or ignore late afternoon due to data quality</t>
  </si>
  <si>
    <t>upward sloping -- 30 mins in the morning, ?? in the afternoon</t>
  </si>
  <si>
    <t>Kawempe-kagoma-kawanda-Matugga</t>
  </si>
  <si>
    <t>67</t>
  </si>
  <si>
    <t>Matugga Mabanda</t>
  </si>
  <si>
    <t>KAWE-MATU-BWAI</t>
  </si>
  <si>
    <t>MATOVU FRED 1</t>
  </si>
  <si>
    <t>5 mins</t>
  </si>
  <si>
    <t>Kawanda Kirinyabigo</t>
  </si>
  <si>
    <t>KAWE-KAWA-BWAI</t>
  </si>
  <si>
    <t>MATOVU FRED 3</t>
  </si>
  <si>
    <t>no -- closed most of the day</t>
  </si>
  <si>
    <t>4 mins</t>
  </si>
  <si>
    <t>Route only operates from 4pm to late</t>
  </si>
  <si>
    <t>Nansana-wakiso-Kakiri-Gobero</t>
  </si>
  <si>
    <t>92</t>
  </si>
  <si>
    <t>17</t>
  </si>
  <si>
    <t>Gobero</t>
  </si>
  <si>
    <t>NANS-GOBE-BWAI</t>
  </si>
  <si>
    <t>ARINAITWE FULIGE 1</t>
  </si>
  <si>
    <t>2000-3000-4000-5000</t>
  </si>
  <si>
    <t>Kabulegwa</t>
  </si>
  <si>
    <t>NANS-KABU-BWAI</t>
  </si>
  <si>
    <t>ARINAITWE FULIGE 2</t>
  </si>
  <si>
    <t>2000-2500</t>
  </si>
  <si>
    <t>check data</t>
  </si>
  <si>
    <t>Only operates after 4pm</t>
  </si>
  <si>
    <t>Busega Nsanji Kyengera</t>
  </si>
  <si>
    <t>135</t>
  </si>
  <si>
    <t>97</t>
  </si>
  <si>
    <t>Maya</t>
  </si>
  <si>
    <t>BUSE-MAYA-BWAI</t>
  </si>
  <si>
    <t>JINGO SULAIMAN 1</t>
  </si>
  <si>
    <t>2000-4000-5000</t>
  </si>
  <si>
    <t>Buloba bulenga Bujjuko</t>
  </si>
  <si>
    <t>90</t>
  </si>
  <si>
    <t>65</t>
  </si>
  <si>
    <t>Bujjuko</t>
  </si>
  <si>
    <t>BULO-BUJJ-BWAI</t>
  </si>
  <si>
    <t>KEEYA ABDULLAH 1</t>
  </si>
  <si>
    <t>3000-4000-5000</t>
  </si>
  <si>
    <t>yes -- possibly too slow?</t>
  </si>
  <si>
    <t>Busabala</t>
  </si>
  <si>
    <t>89</t>
  </si>
  <si>
    <t>5</t>
  </si>
  <si>
    <t>BUSA-BUSA-BWAI</t>
  </si>
  <si>
    <t>AGABA IVAN 1</t>
  </si>
  <si>
    <t>3000-3500-4000</t>
  </si>
  <si>
    <t>Lugoba Katooke Nabweru</t>
  </si>
  <si>
    <t>-8</t>
  </si>
  <si>
    <t>Nasolo</t>
  </si>
  <si>
    <t>LUGO-NASO-BWAI</t>
  </si>
  <si>
    <t>no - dropped stage previously</t>
  </si>
  <si>
    <t>Wamala</t>
  </si>
  <si>
    <t>LUGO-WAMA-BWAI</t>
  </si>
  <si>
    <t>Route only operates in the evening from 4pm to late</t>
  </si>
  <si>
    <t>Kasanje Nakawuka</t>
  </si>
  <si>
    <t>138</t>
  </si>
  <si>
    <t>24</t>
  </si>
  <si>
    <t>KASA-KASA-BWAI</t>
  </si>
  <si>
    <t>LUYIMA EDWARD 1</t>
  </si>
  <si>
    <t>vehicles do not load from this park, they just come to this park spend around 10 minutes get their numbers in the queue then proceed to new taxi park.</t>
  </si>
  <si>
    <t>Nakawa</t>
  </si>
  <si>
    <t>Luzira</t>
  </si>
  <si>
    <t>74</t>
  </si>
  <si>
    <t>56</t>
  </si>
  <si>
    <t>Luzira stage 7</t>
  </si>
  <si>
    <t>LUZI-LUZI-NAKA</t>
  </si>
  <si>
    <t>KAKUMBA HENRY 1</t>
  </si>
  <si>
    <t>on the fence -- too fast in the morning, too slow in the evening, but maybe a window in late morning</t>
  </si>
  <si>
    <t>In the afternoon the afternoon route s usually merged wth rombe tradng center a route of Mutungo bina stage.</t>
  </si>
  <si>
    <t>Kirombe trading center</t>
  </si>
  <si>
    <t>LUZI-KIRO-NAKA</t>
  </si>
  <si>
    <t>probably too slow</t>
  </si>
  <si>
    <t>Added 11/6 - sometimes, vehicles from this stage stop at Mutungo stage because their destinations connect.</t>
  </si>
  <si>
    <t>71</t>
  </si>
  <si>
    <t>ENTE-KITO-NAKA</t>
  </si>
  <si>
    <t>KIYIMBA JOSEPH 1</t>
  </si>
  <si>
    <t>yes - There is a data quality issue with the guide at this stage</t>
  </si>
  <si>
    <t>Ggaba</t>
  </si>
  <si>
    <t>72</t>
  </si>
  <si>
    <t>49</t>
  </si>
  <si>
    <t>Ggaba landing site</t>
  </si>
  <si>
    <t>GGAB-GGAB-NAKA</t>
  </si>
  <si>
    <t>WASSWA PATRICK 1</t>
  </si>
  <si>
    <t>route only operates on market days which is monday and friday and also only 6am-10am</t>
  </si>
  <si>
    <t>Mukono</t>
  </si>
  <si>
    <t>52</t>
  </si>
  <si>
    <t>Jinja ku Bbiri</t>
  </si>
  <si>
    <t>MUKO-JINJ-NAKA</t>
  </si>
  <si>
    <t>KYAZZE DIRIISA 1</t>
  </si>
  <si>
    <t>2000-3000-10000</t>
  </si>
  <si>
    <t>route has its main stops in Bweyogerere and Mukono, it doesnt have a phyisical signpost and its loading bay is by the roadside.</t>
  </si>
  <si>
    <t>Ntinda</t>
  </si>
  <si>
    <t>73</t>
  </si>
  <si>
    <t>53</t>
  </si>
  <si>
    <t>Ntinda kumuzikiti</t>
  </si>
  <si>
    <t>NTIN-NTIN-NAKA</t>
  </si>
  <si>
    <t>SSERUKEERA DONOZIO 1</t>
  </si>
  <si>
    <t>Namugongo Jokas</t>
  </si>
  <si>
    <t>54</t>
  </si>
  <si>
    <t>Namugongo protestant church</t>
  </si>
  <si>
    <t>NAMU-NAMU-NAKA</t>
  </si>
  <si>
    <t>KAYIWA SUNDAY 1</t>
  </si>
  <si>
    <t>no -- too fast, time window too short</t>
  </si>
  <si>
    <t>Bukasa trading center</t>
  </si>
  <si>
    <t>NAMU-BUKA-NAKA</t>
  </si>
  <si>
    <t>KAYIWA SUNDAY 2</t>
  </si>
  <si>
    <t>Mutungo Bina</t>
  </si>
  <si>
    <t>70</t>
  </si>
  <si>
    <t>55</t>
  </si>
  <si>
    <t>MUTU-KIRO-NAKA</t>
  </si>
  <si>
    <t>IGULU ARAMANZANI 1</t>
  </si>
  <si>
    <t>no</t>
  </si>
  <si>
    <t>Kirombe trading center route is sometimes merged with luzira signpost"different stages" in the afternoon.</t>
  </si>
  <si>
    <t>MUTU-LUZI-NAKA</t>
  </si>
  <si>
    <t>no -- is this a shared route with Luzira stage? How to account for this?</t>
  </si>
  <si>
    <t>Added 11/6 - sometimes, vehicles from this stage stop at Luzira stage because their destinations connect.</t>
  </si>
  <si>
    <t>Nateete park</t>
  </si>
  <si>
    <t>76</t>
  </si>
  <si>
    <t>58</t>
  </si>
  <si>
    <t>Kasanje</t>
  </si>
  <si>
    <t>KASA-KASA-NATE</t>
  </si>
  <si>
    <t>KASIBANTE SEMPA GODFREY 1</t>
  </si>
  <si>
    <t>45mins</t>
  </si>
  <si>
    <t>yes -- possibly too slow</t>
  </si>
  <si>
    <t>Bwaise Kawempe Bombo Luwero</t>
  </si>
  <si>
    <t>-9</t>
  </si>
  <si>
    <t>Ssemuto road (Kiweebwa)</t>
  </si>
  <si>
    <t>BWAI-SSEM-NATE</t>
  </si>
  <si>
    <t>1pm-6pm</t>
  </si>
  <si>
    <t>Bweyale</t>
  </si>
  <si>
    <t>BWAI-BWEY-NATE</t>
  </si>
  <si>
    <t>Zana Ndejje Namasuba</t>
  </si>
  <si>
    <t>75</t>
  </si>
  <si>
    <t>ZANA-LUBU-NATE</t>
  </si>
  <si>
    <t>BWETE MOHAMED 1</t>
  </si>
  <si>
    <t>12pm-6pm</t>
  </si>
  <si>
    <t>Mukono Seeta</t>
  </si>
  <si>
    <t>77</t>
  </si>
  <si>
    <t>61</t>
  </si>
  <si>
    <t>Wantone</t>
  </si>
  <si>
    <t>MUKO-WANT-NATE</t>
  </si>
  <si>
    <t>MULINDE LEONALD 1</t>
  </si>
  <si>
    <t>78</t>
  </si>
  <si>
    <t>57</t>
  </si>
  <si>
    <t>Munyonyo roundabout</t>
  </si>
  <si>
    <t>GGAB-MUNY-NATE</t>
  </si>
  <si>
    <t>ABDU KITUMBA 1</t>
  </si>
  <si>
    <t>yes? -- but likely too slow</t>
  </si>
  <si>
    <t>Gayaza Nakasajja</t>
  </si>
  <si>
    <t>81</t>
  </si>
  <si>
    <t>62</t>
  </si>
  <si>
    <t>Nakasajja</t>
  </si>
  <si>
    <t>GAYA-NAKA-NATE</t>
  </si>
  <si>
    <t>SSEKYANZI BAKER 1</t>
  </si>
  <si>
    <t>5 hrs</t>
  </si>
  <si>
    <t>yes? -- but likely too slow in the early afternoon</t>
  </si>
  <si>
    <t>3pm-6pm</t>
  </si>
  <si>
    <t>60 mins</t>
  </si>
  <si>
    <t>Nansana Wakiso</t>
  </si>
  <si>
    <t>82</t>
  </si>
  <si>
    <t>63</t>
  </si>
  <si>
    <t>Ganda Kyebando</t>
  </si>
  <si>
    <t>NANS-GAND-NATE</t>
  </si>
  <si>
    <t>DDAMULILA RICHARD 3</t>
  </si>
  <si>
    <t>yes -- although headway plots very at odds with descriptive survey answers</t>
  </si>
  <si>
    <t>Routes merged all day</t>
  </si>
  <si>
    <t>Kakiri</t>
  </si>
  <si>
    <t>NANS-KAKI-NATE</t>
  </si>
  <si>
    <t>DDAMULILA RICHARD 1</t>
  </si>
  <si>
    <t>Busaabala</t>
  </si>
  <si>
    <t>84</t>
  </si>
  <si>
    <t>60</t>
  </si>
  <si>
    <t>Busaabala mwalo</t>
  </si>
  <si>
    <t>BUSA-BUSA-NATE</t>
  </si>
  <si>
    <t>JOHN FISHER SSERUNKUMA 1</t>
  </si>
  <si>
    <t>special stage (please read comment). There will certainly be spillovers with stage -22. abstracting from that, looks feasible: headways decreasing over the day; early afternoon perhaps too slow</t>
  </si>
  <si>
    <t>Most times of the day, vehicles from their other branch in Busega taxi park, tops up passengers from this branch. Passengers are sifted from the loading taxi to the taxi that comes from Busega park and this taxi usually departs immediately</t>
  </si>
  <si>
    <t>Entebbe Kajjansi</t>
  </si>
  <si>
    <t>79</t>
  </si>
  <si>
    <t>ENTE-KITO-NATE</t>
  </si>
  <si>
    <t>MUGISHA ANDREW 1</t>
  </si>
  <si>
    <t>possible -- but too fast?</t>
  </si>
  <si>
    <t>Buloba Bujjuko</t>
  </si>
  <si>
    <t>85</t>
  </si>
  <si>
    <t>BULO-BUJJ-NATE</t>
  </si>
  <si>
    <t>LUMU RONALD 1</t>
  </si>
  <si>
    <t>yes -- headways increasing over the day</t>
  </si>
  <si>
    <t>9am-4pm</t>
  </si>
  <si>
    <t>9am-1pm: 30 mins; 1pm-4pm: 45-60 mins</t>
  </si>
  <si>
    <t>Route stops operating at 6:00pm</t>
  </si>
  <si>
    <t>NOTE</t>
  </si>
  <si>
    <t>Stages of Mpigi Maya and Mankidye Salaama moved to Busega park, no branch left in Nateete park</t>
  </si>
  <si>
    <t>Busega</t>
  </si>
  <si>
    <t>-12</t>
  </si>
  <si>
    <t>Bweyogerere total</t>
  </si>
  <si>
    <t>BWEY-BWEY-BUSE</t>
  </si>
  <si>
    <t>6-6:40am-40mins/7am-12pm 5mins</t>
  </si>
  <si>
    <t>40-60 mins</t>
  </si>
  <si>
    <t>-13</t>
  </si>
  <si>
    <t>Wakiso town</t>
  </si>
  <si>
    <t>NANS-WAKI-BUSE</t>
  </si>
  <si>
    <t>7am-9am-15mins</t>
  </si>
  <si>
    <t>10am-4pm-40-60mins</t>
  </si>
  <si>
    <t>15-20 mins</t>
  </si>
  <si>
    <t>25 mins</t>
  </si>
  <si>
    <t>-14</t>
  </si>
  <si>
    <t>KASA-KASA-BUSE</t>
  </si>
  <si>
    <t>linked to stage 76. likely too slow, but should we merge this with stage 76 and treat it as one?</t>
  </si>
  <si>
    <t>Its a branch for thet one in Nateete taxi park</t>
  </si>
  <si>
    <t>Entebbe Express</t>
  </si>
  <si>
    <t>-15</t>
  </si>
  <si>
    <t>kitooro via Express</t>
  </si>
  <si>
    <t>ENTE-EXPR-BUSE</t>
  </si>
  <si>
    <t>10-15 mins</t>
  </si>
  <si>
    <t>Both routes have their own queue, and handled by two guides</t>
  </si>
  <si>
    <t>ENTE-KAJJ-BUSE</t>
  </si>
  <si>
    <t>Kyengera Nsanji</t>
  </si>
  <si>
    <t>-16</t>
  </si>
  <si>
    <t>Nsanji</t>
  </si>
  <si>
    <t>KYEN-NSAN-BUSE</t>
  </si>
  <si>
    <t>likely too fast...</t>
  </si>
  <si>
    <t>Accepted, we are working with it.</t>
  </si>
  <si>
    <t>Buloba Bulenga Bujjuko</t>
  </si>
  <si>
    <t>-17</t>
  </si>
  <si>
    <t>BULO-BUJJ-BUSE</t>
  </si>
  <si>
    <t>50-60mins</t>
  </si>
  <si>
    <t>Zzana Ndejje</t>
  </si>
  <si>
    <t>-18</t>
  </si>
  <si>
    <t>ZZAN-LUBU-BUSE</t>
  </si>
  <si>
    <t>4hrs</t>
  </si>
  <si>
    <t>linked to stage 75. too slow on its own, but should we merge this with stage 75 and treat it as one?</t>
  </si>
  <si>
    <t>-19</t>
  </si>
  <si>
    <t>Mukono Wantoni</t>
  </si>
  <si>
    <t>MUKO-MUKO-BUSE</t>
  </si>
  <si>
    <t>3hrs</t>
  </si>
  <si>
    <t>1.5hrs</t>
  </si>
  <si>
    <t>yes, but on the slower side</t>
  </si>
  <si>
    <t>-20</t>
  </si>
  <si>
    <t>GAYA-NAKA-BUSE</t>
  </si>
  <si>
    <t>merged all day</t>
  </si>
  <si>
    <t>GAYA-BUWA-BUSE</t>
  </si>
  <si>
    <t>Mpigi</t>
  </si>
  <si>
    <t>-21</t>
  </si>
  <si>
    <t>Mpigi town</t>
  </si>
  <si>
    <t>MPIG-MPIG-BUSE</t>
  </si>
  <si>
    <t>-22</t>
  </si>
  <si>
    <t>Busabala kumwalo</t>
  </si>
  <si>
    <t>BUSA-BUSA-BUSE</t>
  </si>
  <si>
    <t>3 hjrs</t>
  </si>
  <si>
    <t>Kawanda Matugga</t>
  </si>
  <si>
    <t>-23</t>
  </si>
  <si>
    <t>kawanda</t>
  </si>
  <si>
    <t>KAWA-KAWA-BUSE</t>
  </si>
  <si>
    <t>5hrs</t>
  </si>
  <si>
    <t>no -- likely too slow</t>
  </si>
  <si>
    <t>taxi_park</t>
  </si>
  <si>
    <t>stage</t>
  </si>
  <si>
    <t>queue</t>
  </si>
  <si>
    <t>status</t>
  </si>
  <si>
    <t>status_notes</t>
  </si>
  <si>
    <t>Stage notes</t>
  </si>
  <si>
    <t>...</t>
  </si>
  <si>
    <t>Target frequency</t>
  </si>
  <si>
    <t>Avg route length (all)</t>
  </si>
  <si>
    <t>Avg route length (of selected routes)</t>
  </si>
  <si>
    <t>Strata</t>
  </si>
  <si>
    <t>Strata_old</t>
  </si>
  <si>
    <t>Proposed time window</t>
  </si>
  <si>
    <t>Selected time window</t>
  </si>
  <si>
    <t>Meeting done with stage?</t>
  </si>
  <si>
    <t>FINAL Time window</t>
  </si>
  <si>
    <t>Fares</t>
  </si>
  <si>
    <t>Rules</t>
  </si>
  <si>
    <t>Nakawa Taxi Park</t>
  </si>
  <si>
    <t>Working with</t>
  </si>
  <si>
    <t>A</t>
  </si>
  <si>
    <t>yes/Accepted</t>
  </si>
  <si>
    <t>Valley Park</t>
  </si>
  <si>
    <t>Excluded from intervention</t>
  </si>
  <si>
    <t xml:space="preserve">Only active 3PM - 6PM; from 10:30AM - 2PM, drivers put the signpost for this stage on vehicles for other stages (then switches the signposts when the taxis for this stage arrive). Guide form lists only vehicles for this stage. LBS may not align with guide form pre-3PM departures as a result. </t>
  </si>
  <si>
    <t>Busega Taxi Park</t>
  </si>
  <si>
    <t>B</t>
  </si>
  <si>
    <t>Bwaise Taxi Park</t>
  </si>
  <si>
    <t>C</t>
  </si>
  <si>
    <t>11am-3pm</t>
  </si>
  <si>
    <t>Kajjansi / Namasuba</t>
  </si>
  <si>
    <t xml:space="preserve">Kajjansi currently shares vehicles with Namasuba, but the stage is considering splitting completely and running drivers/vehicles exclusively to Kajjansi in the future (pending passenger demand). </t>
  </si>
  <si>
    <t>Nateete Taxi Park</t>
  </si>
  <si>
    <t>D</t>
  </si>
  <si>
    <t xml:space="preserve">Zana Ndejje stages at Nateete and Busega Parks may share vehicles during the day: * Ndejje zzana stages from both Natete and Busega parks have an understanding and at that particular time of the day, a taxi from Busega park will move to Natete park, if it has more passengers than the taxi loading, the passengers will shift from the loading taxi to the one from Busega park or vice versa.
We’ve asked enumerators to tell guides to always note down vehicles coming from Busega park or anyother park somewhere on the guide form for us to understand that at a particular time, a vehicle not in the queue came and loaded some vehicles from the stage.
</t>
  </si>
  <si>
    <t>E</t>
  </si>
  <si>
    <t>F</t>
  </si>
  <si>
    <t>-15A</t>
  </si>
  <si>
    <t>Queue 1</t>
  </si>
  <si>
    <t>-15B</t>
  </si>
  <si>
    <t>Queue 2</t>
  </si>
  <si>
    <t>Yes/Denied</t>
  </si>
  <si>
    <t>Dropped</t>
  </si>
  <si>
    <t>11/13 - Taxis don't load fully at this stage--they load 1 passenger before moving to another area outside the park to fill up. This is because the park management technically requires them to originate at the park and forbids them from loading in the area outside the park.</t>
  </si>
  <si>
    <t>11/13 - During guide training, we realized that vehicles only come to this park to get registered in the queue for the new park. If they find any passengers they take them but really, they first go to the new taxi. When we were training guides, a guide form could have like two vehicles who went with not more than two passengers to town and then proceed to kasanjje, we decided not to work with it that is why we do not have any data on it.</t>
  </si>
  <si>
    <t>Kalerwe Taxi Park</t>
  </si>
  <si>
    <t>119</t>
  </si>
  <si>
    <t>Mpelerwe-Gayaza-Kasangati</t>
  </si>
  <si>
    <t>Dropped park</t>
  </si>
  <si>
    <t>11/10 - dropping park</t>
  </si>
  <si>
    <t>117</t>
  </si>
  <si>
    <t>Kalerwe- Busega- Bweyogerere-Mukono</t>
  </si>
  <si>
    <t>120</t>
  </si>
  <si>
    <t>121</t>
  </si>
  <si>
    <t>122</t>
  </si>
  <si>
    <t>118</t>
  </si>
  <si>
    <t>Namere Kiteezi Buwambo</t>
  </si>
  <si>
    <t>Kategula Taxi Park</t>
  </si>
  <si>
    <t>125</t>
  </si>
  <si>
    <t>127</t>
  </si>
  <si>
    <t>Namasuba D.K Kikajjo</t>
  </si>
  <si>
    <t>-10</t>
  </si>
  <si>
    <t>Kibuye Taxi Park</t>
  </si>
  <si>
    <t>123</t>
  </si>
  <si>
    <t>124</t>
  </si>
  <si>
    <t>Salaama Muyonyo</t>
  </si>
  <si>
    <t>Kireka Taxi Park</t>
  </si>
  <si>
    <t>-11</t>
  </si>
  <si>
    <t>-11A</t>
  </si>
  <si>
    <t>Kireka namugongo taxi stages</t>
  </si>
  <si>
    <t>-11B</t>
  </si>
  <si>
    <t xml:space="preserve">Queues are long and drivers sometimes move to the street for short trips while maintaining their place in the queue; thus, guide arrival times may be long before they appear in the LBS.  </t>
  </si>
  <si>
    <t xml:space="preserve">11/13 - This stage is no longer functional; no activity was observed for several days. </t>
  </si>
  <si>
    <t>Namirembe Taxi Park</t>
  </si>
  <si>
    <t>114</t>
  </si>
  <si>
    <t>Kasubi Namugoona</t>
  </si>
  <si>
    <t>116</t>
  </si>
  <si>
    <t>Lugala Masanafu</t>
  </si>
  <si>
    <t>115</t>
  </si>
  <si>
    <t>115A</t>
  </si>
  <si>
    <t>Wakiso / Nansana</t>
  </si>
  <si>
    <t>115C</t>
  </si>
  <si>
    <t>115D</t>
  </si>
  <si>
    <t>Busunju</t>
  </si>
  <si>
    <t>115E</t>
  </si>
  <si>
    <t>????</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</si>
</sst>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Aptos Narrow"/>
      <scheme val="minor"/>
    </font>
    <font>
      <b/>
      <sz val="12.0"/>
      <color theme="1"/>
      <name val="Aptos Narrow"/>
    </font>
    <font>
      <b/>
      <sz val="12.0"/>
      <color theme="1"/>
      <name val="Arial"/>
    </font>
    <font>
      <b/>
      <color theme="1"/>
      <name val="Arial"/>
    </font>
    <font>
      <b/>
      <i/>
      <sz val="12.0"/>
      <color theme="1"/>
      <name val="Arial"/>
    </font>
    <font>
      <b/>
      <sz val="11.0"/>
      <color theme="1"/>
      <name val="Arial"/>
    </font>
    <font>
      <sz val="11.0"/>
      <color theme="1"/>
      <name val="Arial"/>
    </font>
    <font>
      <color theme="1"/>
      <name val="Aptos Narrow"/>
      <scheme val="minor"/>
    </font>
    <font>
      <i/>
      <sz val="11.0"/>
      <color theme="1"/>
      <name val="Arial"/>
    </font>
    <font>
      <sz val="11.0"/>
      <color theme="1"/>
      <name val="Aptos Narrow"/>
    </font>
    <font>
      <i/>
      <sz val="11.0"/>
      <color theme="1"/>
      <name val="Aptos Narrow"/>
    </font>
    <font>
      <color theme="1"/>
      <name val="Arial"/>
    </font>
    <font>
      <color theme="1"/>
      <name val="Aptos Narrow"/>
    </font>
    <font/>
    <font>
      <sz val="10.0"/>
      <color theme="1"/>
      <name val="Arial"/>
    </font>
    <font>
      <i/>
      <color theme="1"/>
      <name val="Arial"/>
    </font>
    <font>
      <i/>
      <color theme="1"/>
      <name val="Aptos Narrow"/>
    </font>
    <font>
      <color rgb="FF0000FF"/>
      <name val="Arial"/>
    </font>
    <font>
      <color rgb="FF0000FF"/>
      <name val="Aptos Narrow"/>
    </font>
    <font>
      <i/>
      <color rgb="FF0000FF"/>
      <name val="Arial"/>
    </font>
    <font>
      <color rgb="FF4A86E8"/>
      <name val="Aptos Narrow"/>
    </font>
    <font>
      <color rgb="FF4A86E8"/>
      <name val="Arial"/>
    </font>
    <font>
      <i/>
      <color rgb="FF4A86E8"/>
      <name val="Arial"/>
    </font>
    <font>
      <i/>
      <color theme="1"/>
      <name val="Aptos Narrow"/>
      <scheme val="minor"/>
    </font>
    <font>
      <b/>
      <color theme="1"/>
      <name val="Aptos Narrow"/>
    </font>
    <font>
      <sz val="12.0"/>
      <color theme="1"/>
      <name val="Aptos Narrow"/>
    </font>
    <font>
      <sz val="12.0"/>
      <color theme="1"/>
      <name val="Arial"/>
    </font>
  </fonts>
  <fills count="22">
    <fill>
      <patternFill patternType="none"/>
    </fill>
    <fill>
      <patternFill patternType="lightGray"/>
    </fill>
    <fill>
      <patternFill patternType="solid">
        <fgColor rgb="FFB8D4EF"/>
        <bgColor rgb="FFB8D4EF"/>
      </patternFill>
    </fill>
    <fill>
      <patternFill patternType="solid">
        <fgColor rgb="FF00FFFF"/>
        <bgColor rgb="FF00FFFF"/>
      </patternFill>
    </fill>
    <fill>
      <patternFill patternType="solid">
        <fgColor rgb="FFFFFF00"/>
        <bgColor rgb="FFFFFF00"/>
      </patternFill>
    </fill>
    <fill>
      <patternFill patternType="solid">
        <fgColor rgb="FFE06666"/>
        <bgColor rgb="FFE06666"/>
      </patternFill>
    </fill>
    <fill>
      <patternFill patternType="solid">
        <fgColor rgb="FF6D9EEB"/>
        <bgColor rgb="FF6D9EEB"/>
      </patternFill>
    </fill>
    <fill>
      <patternFill patternType="solid">
        <fgColor rgb="FFA2C4C9"/>
        <bgColor rgb="FFA2C4C9"/>
      </patternFill>
    </fill>
    <fill>
      <patternFill patternType="solid">
        <fgColor rgb="FFC9DAF8"/>
        <bgColor rgb="FFC9DAF8"/>
      </patternFill>
    </fill>
    <fill>
      <patternFill patternType="solid">
        <fgColor rgb="FFCFE2F3"/>
        <bgColor rgb="FFCFE2F3"/>
      </patternFill>
    </fill>
    <fill>
      <patternFill patternType="solid">
        <fgColor rgb="FF073763"/>
        <bgColor rgb="FF073763"/>
      </patternFill>
    </fill>
    <fill>
      <patternFill patternType="solid">
        <fgColor rgb="FFCC4125"/>
        <bgColor rgb="FFCC4125"/>
      </patternFill>
    </fill>
    <fill>
      <patternFill patternType="solid">
        <fgColor rgb="FFA4C2F4"/>
        <bgColor rgb="FFA4C2F4"/>
      </patternFill>
    </fill>
    <fill>
      <patternFill patternType="solid">
        <fgColor rgb="FF0B5394"/>
        <bgColor rgb="FF0B5394"/>
      </patternFill>
    </fill>
    <fill>
      <patternFill patternType="solid">
        <fgColor rgb="FF000000"/>
        <bgColor rgb="FF000000"/>
      </patternFill>
    </fill>
    <fill>
      <patternFill patternType="solid">
        <fgColor rgb="FFFFF2CC"/>
        <bgColor rgb="FFFFF2CC"/>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D9EAD3"/>
        <bgColor rgb="FFD9EAD3"/>
      </patternFill>
    </fill>
    <fill>
      <patternFill patternType="solid">
        <fgColor rgb="FFFF0000"/>
        <bgColor rgb="FFFF0000"/>
      </patternFill>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right/>
      <top/>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left style="thin">
        <color rgb="FF000000"/>
      </left>
      <right style="thin">
        <color rgb="FF000000"/>
      </right>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2" numFmtId="0" xfId="0" applyFont="1"/>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readingOrder="0"/>
    </xf>
    <xf borderId="1" fillId="0" fontId="3" numFmtId="0" xfId="0" applyAlignment="1" applyBorder="1" applyFont="1">
      <alignment readingOrder="0"/>
    </xf>
    <xf borderId="0" fillId="0" fontId="4" numFmtId="0" xfId="0" applyAlignment="1" applyFont="1">
      <alignment readingOrder="0"/>
    </xf>
    <xf borderId="0" fillId="0" fontId="5" numFmtId="0" xfId="0" applyAlignment="1" applyFont="1">
      <alignment shrinkToFit="0" wrapText="1"/>
    </xf>
    <xf borderId="0" fillId="0" fontId="6" numFmtId="0" xfId="0" applyAlignment="1" applyFont="1">
      <alignment shrinkToFit="0" wrapText="1"/>
    </xf>
    <xf borderId="1" fillId="0" fontId="6" numFmtId="0" xfId="0" applyAlignment="1" applyBorder="1" applyFont="1">
      <alignment shrinkToFit="0" wrapText="1"/>
    </xf>
    <xf borderId="1" fillId="0" fontId="6" numFmtId="49" xfId="0" applyAlignment="1" applyBorder="1" applyFont="1" applyNumberFormat="1">
      <alignment shrinkToFit="0" wrapText="1"/>
    </xf>
    <xf borderId="0" fillId="0" fontId="7" numFmtId="0" xfId="0" applyAlignment="1" applyFont="1">
      <alignment readingOrder="0"/>
    </xf>
    <xf borderId="1" fillId="0" fontId="6" numFmtId="0" xfId="0" applyAlignment="1" applyBorder="1" applyFont="1">
      <alignment readingOrder="0" shrinkToFit="0" wrapText="1"/>
    </xf>
    <xf borderId="1" fillId="0" fontId="8" numFmtId="0" xfId="0" applyAlignment="1" applyBorder="1" applyFont="1">
      <alignment readingOrder="0" shrinkToFit="0" wrapText="1"/>
    </xf>
    <xf borderId="1" fillId="0" fontId="9" numFmtId="0" xfId="0" applyAlignment="1" applyBorder="1" applyFont="1">
      <alignment shrinkToFit="0" wrapText="1"/>
    </xf>
    <xf borderId="0" fillId="0" fontId="9" numFmtId="0" xfId="0" applyAlignment="1" applyFont="1">
      <alignment shrinkToFit="0" wrapText="1"/>
    </xf>
    <xf borderId="0" fillId="0" fontId="9" numFmtId="0" xfId="0" applyFont="1"/>
    <xf borderId="1" fillId="2" fontId="9" numFmtId="0" xfId="0" applyBorder="1" applyFill="1" applyFont="1"/>
    <xf borderId="1" fillId="2" fontId="9" numFmtId="49" xfId="0" applyBorder="1" applyFont="1" applyNumberFormat="1"/>
    <xf borderId="1" fillId="2" fontId="10" numFmtId="0" xfId="0" applyBorder="1" applyFont="1"/>
    <xf borderId="2" fillId="2" fontId="9" numFmtId="0" xfId="0" applyBorder="1" applyFont="1"/>
    <xf borderId="3" fillId="2" fontId="9" numFmtId="0" xfId="0" applyBorder="1" applyFont="1"/>
    <xf borderId="1" fillId="0" fontId="10" numFmtId="0" xfId="0" applyAlignment="1" applyBorder="1" applyFont="1">
      <alignment shrinkToFit="0" wrapText="1"/>
    </xf>
    <xf borderId="1" fillId="3" fontId="6" numFmtId="0" xfId="0" applyAlignment="1" applyBorder="1" applyFill="1" applyFont="1">
      <alignment readingOrder="0" shrinkToFit="0" wrapText="1"/>
    </xf>
    <xf borderId="1" fillId="0" fontId="9" numFmtId="0" xfId="0" applyBorder="1" applyFont="1"/>
    <xf borderId="1" fillId="0" fontId="6" numFmtId="0" xfId="0" applyBorder="1" applyFont="1"/>
    <xf borderId="1" fillId="4" fontId="6" numFmtId="0" xfId="0" applyAlignment="1" applyBorder="1" applyFill="1" applyFont="1">
      <alignment readingOrder="0"/>
    </xf>
    <xf borderId="1" fillId="0" fontId="8" numFmtId="0" xfId="0" applyBorder="1" applyFont="1"/>
    <xf borderId="1" fillId="0" fontId="11" numFmtId="0" xfId="0" applyBorder="1" applyFont="1"/>
    <xf borderId="0" fillId="0" fontId="11" numFmtId="0" xfId="0" applyAlignment="1" applyFont="1">
      <alignment horizontal="right" vertical="bottom"/>
    </xf>
    <xf borderId="1" fillId="0" fontId="12" numFmtId="0" xfId="0" applyBorder="1" applyFont="1"/>
    <xf borderId="1" fillId="0" fontId="11" numFmtId="49" xfId="0" applyBorder="1" applyFont="1" applyNumberFormat="1"/>
    <xf borderId="1" fillId="5" fontId="6" numFmtId="0" xfId="0" applyAlignment="1" applyBorder="1" applyFill="1" applyFont="1">
      <alignment readingOrder="0" shrinkToFit="0" wrapText="1"/>
    </xf>
    <xf borderId="1" fillId="0" fontId="8" numFmtId="0" xfId="0" applyAlignment="1" applyBorder="1" applyFont="1">
      <alignment shrinkToFit="0" wrapText="1"/>
    </xf>
    <xf borderId="4" fillId="0" fontId="6" numFmtId="0" xfId="0" applyAlignment="1" applyBorder="1" applyFont="1">
      <alignment shrinkToFit="0" wrapText="1"/>
    </xf>
    <xf borderId="5" fillId="0" fontId="13" numFmtId="0" xfId="0" applyBorder="1" applyFont="1"/>
    <xf borderId="1" fillId="0" fontId="14" numFmtId="49" xfId="0" applyAlignment="1" applyBorder="1" applyFont="1" applyNumberFormat="1">
      <alignment shrinkToFit="0" wrapText="1"/>
    </xf>
    <xf borderId="1" fillId="0" fontId="14" numFmtId="0" xfId="0" applyAlignment="1" applyBorder="1" applyFont="1">
      <alignment shrinkToFit="0" wrapText="1"/>
    </xf>
    <xf borderId="1" fillId="0" fontId="6" numFmtId="0" xfId="0" applyAlignment="1" applyBorder="1" applyFont="1">
      <alignment horizontal="right" shrinkToFit="0" wrapText="1"/>
    </xf>
    <xf borderId="1" fillId="0" fontId="15" numFmtId="0" xfId="0" applyBorder="1" applyFont="1"/>
    <xf borderId="0" fillId="0" fontId="11" numFmtId="0" xfId="0" applyFont="1"/>
    <xf borderId="1" fillId="0" fontId="11" numFmtId="0" xfId="0" applyAlignment="1" applyBorder="1" applyFont="1">
      <alignment readingOrder="0"/>
    </xf>
    <xf borderId="1" fillId="3" fontId="11" numFmtId="0" xfId="0" applyAlignment="1" applyBorder="1" applyFont="1">
      <alignment readingOrder="0"/>
    </xf>
    <xf borderId="1" fillId="0" fontId="15" numFmtId="0" xfId="0" applyAlignment="1" applyBorder="1" applyFont="1">
      <alignment readingOrder="0"/>
    </xf>
    <xf borderId="3" fillId="6" fontId="9" numFmtId="0" xfId="0" applyBorder="1" applyFill="1" applyFont="1"/>
    <xf borderId="6" fillId="6" fontId="9" numFmtId="0" xfId="0" applyBorder="1" applyFont="1"/>
    <xf borderId="1" fillId="6" fontId="9" numFmtId="0" xfId="0" applyBorder="1" applyFont="1"/>
    <xf borderId="1" fillId="6" fontId="9" numFmtId="49" xfId="0" applyBorder="1" applyFont="1" applyNumberFormat="1"/>
    <xf borderId="1" fillId="6" fontId="10" numFmtId="0" xfId="0" applyBorder="1" applyFont="1"/>
    <xf borderId="2" fillId="6" fontId="9" numFmtId="0" xfId="0" applyBorder="1" applyFont="1"/>
    <xf borderId="0" fillId="0" fontId="3" numFmtId="0" xfId="0" applyFont="1"/>
    <xf borderId="1" fillId="0" fontId="11" numFmtId="49" xfId="0" applyAlignment="1" applyBorder="1" applyFont="1" applyNumberFormat="1">
      <alignment horizontal="right" shrinkToFit="0" vertical="bottom" wrapText="1"/>
    </xf>
    <xf borderId="0" fillId="4" fontId="6" numFmtId="0" xfId="0" applyAlignment="1" applyFont="1">
      <alignment readingOrder="0" shrinkToFit="0" wrapText="1"/>
    </xf>
    <xf borderId="1" fillId="4" fontId="6" numFmtId="0" xfId="0" applyAlignment="1" applyBorder="1" applyFont="1">
      <alignment shrinkToFit="0" wrapText="1"/>
    </xf>
    <xf borderId="7" fillId="0" fontId="13" numFmtId="0" xfId="0" applyBorder="1" applyFont="1"/>
    <xf borderId="1" fillId="4" fontId="6" numFmtId="0" xfId="0" applyAlignment="1" applyBorder="1" applyFont="1">
      <alignment readingOrder="0" shrinkToFit="0" wrapText="1"/>
    </xf>
    <xf borderId="1" fillId="0" fontId="11" numFmtId="3" xfId="0" applyBorder="1" applyFont="1" applyNumberFormat="1"/>
    <xf borderId="1" fillId="4" fontId="11" numFmtId="0" xfId="0" applyAlignment="1" applyBorder="1" applyFont="1">
      <alignment readingOrder="0"/>
    </xf>
    <xf borderId="4" fillId="0" fontId="6" numFmtId="0" xfId="0" applyAlignment="1" applyBorder="1" applyFont="1">
      <alignment readingOrder="0" shrinkToFit="0" wrapText="1"/>
    </xf>
    <xf borderId="4" fillId="0" fontId="8" numFmtId="0" xfId="0" applyAlignment="1" applyBorder="1" applyFont="1">
      <alignment shrinkToFit="0" wrapText="1"/>
    </xf>
    <xf borderId="4" fillId="0" fontId="11" numFmtId="0" xfId="0" applyAlignment="1" applyBorder="1" applyFont="1">
      <alignment readingOrder="0"/>
    </xf>
    <xf borderId="4" fillId="0" fontId="11" numFmtId="0" xfId="0" applyBorder="1" applyFont="1"/>
    <xf borderId="4" fillId="0" fontId="15" numFmtId="0" xfId="0" applyBorder="1" applyFont="1"/>
    <xf borderId="1" fillId="0" fontId="14" numFmtId="49" xfId="0" applyAlignment="1" applyBorder="1" applyFont="1" applyNumberFormat="1">
      <alignment readingOrder="0" shrinkToFit="0" wrapText="1"/>
    </xf>
    <xf borderId="1" fillId="0" fontId="16" numFmtId="0" xfId="0" applyBorder="1" applyFont="1"/>
    <xf borderId="1" fillId="0" fontId="11" numFmtId="0" xfId="0" applyAlignment="1" applyBorder="1" applyFont="1">
      <alignment horizontal="left"/>
    </xf>
    <xf borderId="1" fillId="5" fontId="11" numFmtId="0" xfId="0" applyAlignment="1" applyBorder="1" applyFont="1">
      <alignment readingOrder="0"/>
    </xf>
    <xf borderId="1" fillId="7" fontId="12" numFmtId="0" xfId="0" applyBorder="1" applyFill="1" applyFont="1"/>
    <xf borderId="1" fillId="7" fontId="12" numFmtId="49" xfId="0" applyBorder="1" applyFont="1" applyNumberFormat="1"/>
    <xf borderId="0" fillId="7" fontId="12" numFmtId="0" xfId="0" applyFont="1"/>
    <xf borderId="1" fillId="8" fontId="12" numFmtId="0" xfId="0" applyBorder="1" applyFill="1" applyFont="1"/>
    <xf borderId="1" fillId="8" fontId="12" numFmtId="49" xfId="0" applyBorder="1" applyFont="1" applyNumberFormat="1"/>
    <xf borderId="0" fillId="8" fontId="12" numFmtId="0" xfId="0" applyFont="1"/>
    <xf borderId="0" fillId="0" fontId="11" numFmtId="49" xfId="0" applyFont="1" applyNumberFormat="1"/>
    <xf borderId="1" fillId="8" fontId="16" numFmtId="0" xfId="0" applyBorder="1" applyFont="1"/>
    <xf borderId="1" fillId="9" fontId="12" numFmtId="0" xfId="0" applyBorder="1" applyFill="1" applyFont="1"/>
    <xf borderId="1" fillId="9" fontId="12" numFmtId="49" xfId="0" applyBorder="1" applyFont="1" applyNumberFormat="1"/>
    <xf borderId="1" fillId="9" fontId="16" numFmtId="0" xfId="0" applyBorder="1" applyFont="1"/>
    <xf borderId="0" fillId="9" fontId="12" numFmtId="0" xfId="0" applyFont="1"/>
    <xf borderId="1" fillId="9" fontId="11" numFmtId="49" xfId="0" applyBorder="1" applyFont="1" applyNumberFormat="1"/>
    <xf borderId="1" fillId="9" fontId="11" numFmtId="0" xfId="0" applyBorder="1" applyFont="1"/>
    <xf borderId="1" fillId="9" fontId="15" numFmtId="0" xfId="0" applyBorder="1" applyFont="1"/>
    <xf borderId="1" fillId="0" fontId="17" numFmtId="0" xfId="0" applyBorder="1" applyFont="1"/>
    <xf borderId="1" fillId="0" fontId="17" numFmtId="49" xfId="0" applyBorder="1" applyFont="1" applyNumberFormat="1"/>
    <xf borderId="1" fillId="0" fontId="18" numFmtId="0" xfId="0" applyBorder="1" applyFont="1"/>
    <xf borderId="1" fillId="0" fontId="17" numFmtId="0" xfId="0" applyAlignment="1" applyBorder="1" applyFont="1">
      <alignment readingOrder="0"/>
    </xf>
    <xf borderId="1" fillId="0" fontId="19" numFmtId="0" xfId="0" applyBorder="1" applyFont="1"/>
    <xf borderId="0" fillId="0" fontId="18" numFmtId="0" xfId="0" applyFont="1"/>
    <xf borderId="1" fillId="0" fontId="12" numFmtId="49" xfId="0" applyBorder="1" applyFont="1" applyNumberFormat="1"/>
    <xf borderId="0" fillId="10" fontId="12" numFmtId="0" xfId="0" applyFill="1" applyFont="1"/>
    <xf borderId="1" fillId="10" fontId="12" numFmtId="0" xfId="0" applyBorder="1" applyFont="1"/>
    <xf borderId="1" fillId="10" fontId="12" numFmtId="49" xfId="0" applyBorder="1" applyFont="1" applyNumberFormat="1"/>
    <xf borderId="1" fillId="10" fontId="16" numFmtId="0" xfId="0" applyBorder="1" applyFont="1"/>
    <xf borderId="0" fillId="0" fontId="11" numFmtId="0" xfId="0" applyAlignment="1" applyFont="1">
      <alignment readingOrder="0"/>
    </xf>
    <xf borderId="1" fillId="11" fontId="11" numFmtId="0" xfId="0" applyAlignment="1" applyBorder="1" applyFill="1" applyFont="1">
      <alignment readingOrder="0"/>
    </xf>
    <xf borderId="0" fillId="0" fontId="20" numFmtId="0" xfId="0" applyFont="1"/>
    <xf borderId="0" fillId="0" fontId="21" numFmtId="0" xfId="0" applyFont="1"/>
    <xf borderId="1" fillId="0" fontId="21" numFmtId="0" xfId="0" applyBorder="1" applyFont="1"/>
    <xf borderId="1" fillId="0" fontId="21" numFmtId="49" xfId="0" applyBorder="1" applyFont="1" applyNumberFormat="1"/>
    <xf borderId="1" fillId="0" fontId="20" numFmtId="0" xfId="0" applyBorder="1" applyFont="1"/>
    <xf borderId="1" fillId="0" fontId="21" numFmtId="0" xfId="0" applyAlignment="1" applyBorder="1" applyFont="1">
      <alignment readingOrder="0"/>
    </xf>
    <xf borderId="1" fillId="0" fontId="22" numFmtId="0" xfId="0" applyBorder="1" applyFont="1"/>
    <xf borderId="0" fillId="12" fontId="12" numFmtId="0" xfId="0" applyFill="1" applyFont="1"/>
    <xf borderId="1" fillId="12" fontId="12" numFmtId="0" xfId="0" applyBorder="1" applyFont="1"/>
    <xf borderId="1" fillId="12" fontId="12" numFmtId="49" xfId="0" applyBorder="1" applyFont="1" applyNumberFormat="1"/>
    <xf borderId="1" fillId="12" fontId="16" numFmtId="0" xfId="0" applyBorder="1" applyFont="1"/>
    <xf borderId="0" fillId="13" fontId="12" numFmtId="0" xfId="0" applyFill="1" applyFont="1"/>
    <xf borderId="1" fillId="13" fontId="12" numFmtId="0" xfId="0" applyBorder="1" applyFont="1"/>
    <xf borderId="1" fillId="13" fontId="12" numFmtId="49" xfId="0" applyBorder="1" applyFont="1" applyNumberFormat="1"/>
    <xf borderId="1" fillId="13" fontId="16" numFmtId="0" xfId="0" applyBorder="1" applyFont="1"/>
    <xf borderId="1" fillId="0" fontId="11" numFmtId="49" xfId="0" applyAlignment="1" applyBorder="1" applyFont="1" applyNumberFormat="1">
      <alignment readingOrder="0"/>
    </xf>
    <xf borderId="0" fillId="4" fontId="11" numFmtId="0" xfId="0" applyFont="1"/>
    <xf borderId="1" fillId="4" fontId="11" numFmtId="0" xfId="0" applyBorder="1" applyFont="1"/>
    <xf borderId="1" fillId="4" fontId="11" numFmtId="49" xfId="0" applyBorder="1" applyFont="1" applyNumberFormat="1"/>
    <xf borderId="1" fillId="4" fontId="15" numFmtId="0" xfId="0" applyBorder="1" applyFont="1"/>
    <xf borderId="1" fillId="4" fontId="12" numFmtId="0" xfId="0" applyBorder="1" applyFont="1"/>
    <xf borderId="0" fillId="4" fontId="12" numFmtId="0" xfId="0" applyFont="1"/>
    <xf borderId="0" fillId="13" fontId="12" numFmtId="49" xfId="0" applyFont="1" applyNumberFormat="1"/>
    <xf borderId="0" fillId="13" fontId="16" numFmtId="0" xfId="0" applyFont="1"/>
    <xf borderId="0" fillId="0" fontId="11" numFmtId="49" xfId="0" applyAlignment="1" applyFont="1" applyNumberFormat="1">
      <alignment readingOrder="0"/>
    </xf>
    <xf borderId="0" fillId="0" fontId="23" numFmtId="0" xfId="0" applyFont="1"/>
    <xf borderId="0" fillId="9" fontId="12" numFmtId="49" xfId="0" applyFont="1" applyNumberFormat="1"/>
    <xf borderId="0" fillId="9" fontId="16" numFmtId="0" xfId="0" applyFont="1"/>
    <xf borderId="0" fillId="4" fontId="11" numFmtId="0" xfId="0" applyAlignment="1" applyFont="1">
      <alignment readingOrder="0"/>
    </xf>
    <xf borderId="0" fillId="0" fontId="15" numFmtId="0" xfId="0" applyAlignment="1" applyFont="1">
      <alignment readingOrder="0"/>
    </xf>
    <xf borderId="0" fillId="5" fontId="11" numFmtId="0" xfId="0" applyAlignment="1" applyFont="1">
      <alignment readingOrder="0"/>
    </xf>
    <xf borderId="0" fillId="0" fontId="15" numFmtId="0" xfId="0" applyFont="1"/>
    <xf borderId="0" fillId="0" fontId="7" numFmtId="49" xfId="0" applyFont="1" applyNumberFormat="1"/>
    <xf borderId="0" fillId="0" fontId="3" numFmtId="0" xfId="0" applyAlignment="1" applyFont="1">
      <alignment shrinkToFit="0" wrapText="1"/>
    </xf>
    <xf borderId="0" fillId="0" fontId="3" numFmtId="49" xfId="0" applyAlignment="1" applyFont="1" applyNumberFormat="1">
      <alignment shrinkToFit="0" wrapText="1"/>
    </xf>
    <xf borderId="0" fillId="0" fontId="3" numFmtId="0" xfId="0" applyAlignment="1" applyFont="1">
      <alignment readingOrder="0" shrinkToFit="0" wrapText="1"/>
    </xf>
    <xf borderId="0" fillId="14" fontId="3" numFmtId="0" xfId="0" applyAlignment="1" applyFill="1" applyFont="1">
      <alignment shrinkToFit="0" wrapText="1"/>
    </xf>
    <xf borderId="0" fillId="0" fontId="24" numFmtId="0" xfId="0" applyAlignment="1" applyFont="1">
      <alignment shrinkToFit="0" wrapText="1"/>
    </xf>
    <xf borderId="0" fillId="0" fontId="25" numFmtId="0" xfId="0" applyAlignment="1" applyFont="1">
      <alignment vertical="bottom"/>
    </xf>
    <xf borderId="0" fillId="0" fontId="25" numFmtId="49" xfId="0" applyAlignment="1" applyFont="1" applyNumberFormat="1">
      <alignment horizontal="right" vertical="bottom"/>
    </xf>
    <xf borderId="0" fillId="0" fontId="25" numFmtId="49" xfId="0" applyAlignment="1" applyFont="1" applyNumberFormat="1">
      <alignment vertical="bottom"/>
    </xf>
    <xf borderId="0" fillId="14" fontId="12" numFmtId="0" xfId="0" applyFont="1"/>
    <xf borderId="0" fillId="0" fontId="7" numFmtId="0" xfId="0" applyFont="1"/>
    <xf borderId="0" fillId="0" fontId="7" numFmtId="4" xfId="0" applyFont="1" applyNumberFormat="1"/>
    <xf borderId="0" fillId="15" fontId="11" numFmtId="0" xfId="0" applyAlignment="1" applyFill="1" applyFont="1">
      <alignment readingOrder="0"/>
    </xf>
    <xf borderId="0" fillId="8" fontId="11" numFmtId="0" xfId="0" applyAlignment="1" applyFont="1">
      <alignment readingOrder="0"/>
    </xf>
    <xf borderId="0" fillId="0" fontId="26" numFmtId="0" xfId="0" applyAlignment="1" applyFont="1">
      <alignment vertical="bottom"/>
    </xf>
    <xf borderId="0" fillId="16" fontId="11" numFmtId="0" xfId="0" applyFill="1" applyFont="1"/>
    <xf borderId="0" fillId="0" fontId="26" numFmtId="49" xfId="0" applyAlignment="1" applyFont="1" applyNumberFormat="1">
      <alignment readingOrder="0" vertical="bottom"/>
    </xf>
    <xf borderId="0" fillId="17" fontId="11" numFmtId="0" xfId="0" applyAlignment="1" applyFill="1" applyFont="1">
      <alignment readingOrder="0"/>
    </xf>
    <xf borderId="0" fillId="18" fontId="11" numFmtId="0" xfId="0" applyAlignment="1" applyFill="1" applyFont="1">
      <alignment readingOrder="0"/>
    </xf>
    <xf borderId="0" fillId="19" fontId="11" numFmtId="0" xfId="0" applyAlignment="1" applyFill="1" applyFont="1">
      <alignment readingOrder="0"/>
    </xf>
    <xf borderId="0" fillId="4" fontId="25" numFmtId="49" xfId="0" applyAlignment="1" applyFont="1" applyNumberFormat="1">
      <alignment vertical="bottom"/>
    </xf>
    <xf borderId="0" fillId="9" fontId="11" numFmtId="0" xfId="0" applyAlignment="1" applyFont="1">
      <alignment readingOrder="0"/>
    </xf>
    <xf borderId="0" fillId="3" fontId="11" numFmtId="0" xfId="0" applyAlignment="1" applyFont="1">
      <alignment readingOrder="0"/>
    </xf>
    <xf borderId="0" fillId="17" fontId="11" numFmtId="0" xfId="0" applyFont="1"/>
    <xf borderId="0" fillId="4" fontId="26" numFmtId="49" xfId="0" applyAlignment="1" applyFont="1" applyNumberFormat="1">
      <alignment readingOrder="0" vertical="bottom"/>
    </xf>
    <xf borderId="0" fillId="20" fontId="11" numFmtId="0" xfId="0" applyAlignment="1" applyFill="1" applyFont="1">
      <alignment readingOrder="0"/>
    </xf>
    <xf borderId="0" fillId="0" fontId="26" numFmtId="0" xfId="0" applyAlignment="1" applyFont="1">
      <alignment readingOrder="0" vertical="bottom"/>
    </xf>
    <xf borderId="0" fillId="21" fontId="11" numFmtId="0" xfId="0" applyFill="1" applyFont="1"/>
    <xf borderId="0" fillId="0" fontId="26" numFmtId="49" xfId="0" applyAlignment="1" applyFont="1" applyNumberFormat="1">
      <alignment horizontal="right" vertical="bottom"/>
    </xf>
    <xf borderId="0" fillId="20" fontId="26" numFmtId="49" xfId="0" applyAlignment="1" applyFont="1" applyNumberFormat="1">
      <alignment vertical="bottom"/>
    </xf>
    <xf borderId="0" fillId="20" fontId="26" numFmtId="0" xfId="0" applyAlignment="1" applyFont="1">
      <alignment vertical="bottom"/>
    </xf>
    <xf borderId="3" fillId="20" fontId="26" numFmtId="49" xfId="0" applyAlignment="1" applyBorder="1" applyFont="1" applyNumberFormat="1">
      <alignment vertical="bottom"/>
    </xf>
    <xf borderId="3" fillId="0" fontId="26" numFmtId="49" xfId="0" applyAlignment="1" applyBorder="1" applyFont="1" applyNumberFormat="1">
      <alignment horizontal="right" vertical="bottom"/>
    </xf>
    <xf borderId="3" fillId="20" fontId="26" numFmtId="0" xfId="0" applyAlignment="1" applyBorder="1" applyFont="1">
      <alignment vertical="bottom"/>
    </xf>
    <xf borderId="3" fillId="0" fontId="25" numFmtId="49" xfId="0" applyAlignment="1" applyBorder="1" applyFont="1" applyNumberFormat="1">
      <alignment horizontal="right" vertical="bottom"/>
    </xf>
    <xf borderId="3" fillId="0" fontId="25" numFmtId="0" xfId="0" applyAlignment="1" applyBorder="1" applyFont="1">
      <alignment vertical="bottom"/>
    </xf>
    <xf borderId="0" fillId="0" fontId="26" numFmtId="49" xfId="0" applyAlignment="1" applyFont="1" applyNumberFormat="1">
      <alignment horizontal="right" readingOrder="0" vertical="bottom"/>
    </xf>
    <xf borderId="0" fillId="0" fontId="12" numFmtId="49" xfId="0" applyFont="1" applyNumberFormat="1"/>
  </cellXfs>
  <cellStyles count="1">
    <cellStyle xfId="0" name="Normal" builtinId="0"/>
  </cellStyles>
  <dxfs count="2">
    <dxf>
      <font/>
      <fill>
        <patternFill patternType="solid">
          <fgColor rgb="FFB7E1CD"/>
          <bgColor rgb="FFB7E1CD"/>
        </patternFill>
      </fill>
      <border/>
    </dxf>
    <dxf>
      <font/>
      <fill>
        <patternFill patternType="solid">
          <fgColor rgb="FFCCCCCC"/>
          <bgColor rgb="FFCC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0"/>
  <cols>
    <col customWidth="1" min="1" max="1" width="9.13"/>
    <col customWidth="1" hidden="1" min="2" max="2" width="3.63"/>
    <col customWidth="1" min="3" max="3" width="11.25"/>
    <col customWidth="1" min="4" max="4" width="6.88"/>
    <col customWidth="1" hidden="1" min="5" max="5" width="5.75"/>
    <col customWidth="1" min="6" max="6" width="6.13"/>
    <col customWidth="1" min="7" max="7" width="15.5"/>
    <col customWidth="1" min="8" max="8" width="18.0"/>
    <col customWidth="1" min="9" max="9" width="25.13"/>
    <col customWidth="1" min="10" max="11" width="8.38"/>
    <col customWidth="1" min="12" max="12" width="19.25"/>
    <col customWidth="1" min="13" max="13" width="20.0"/>
    <col customWidth="1" min="14" max="14" width="27.13"/>
    <col customWidth="1" min="15" max="15" width="13.63"/>
    <col customWidth="1" min="16" max="16" width="17.63"/>
    <col customWidth="1" min="17" max="17" width="16.88"/>
    <col customWidth="1" min="18" max="19" width="19.63"/>
    <col customWidth="1" min="20" max="20" width="74.13"/>
    <col customWidth="1" min="21" max="37" width="8.63"/>
  </cols>
  <sheetData>
    <row r="1" ht="14.25" customHeight="1">
      <c r="A1" s="1" t="s">
        <v>0</v>
      </c>
      <c r="B1" s="1"/>
      <c r="C1" s="1" t="s">
        <v>1</v>
      </c>
      <c r="D1" s="2" t="s">
        <v>2</v>
      </c>
      <c r="E1" s="2" t="s">
        <v>3</v>
      </c>
      <c r="F1" s="2" t="s">
        <v>4</v>
      </c>
      <c r="G1" s="1" t="s">
        <v>5</v>
      </c>
      <c r="H1" s="3" t="s">
        <v>6</v>
      </c>
      <c r="I1" s="3" t="s">
        <v>7</v>
      </c>
      <c r="J1" s="4" t="s">
        <v>8</v>
      </c>
      <c r="K1" s="1" t="s">
        <v>9</v>
      </c>
      <c r="L1" s="5" t="s">
        <v>10</v>
      </c>
      <c r="M1" s="1" t="s">
        <v>11</v>
      </c>
      <c r="N1" s="1" t="s">
        <v>12</v>
      </c>
      <c r="O1" s="6" t="s">
        <v>13</v>
      </c>
      <c r="P1" s="7" t="s">
        <v>14</v>
      </c>
      <c r="Q1" s="4" t="s">
        <v>15</v>
      </c>
      <c r="R1" s="8" t="s">
        <v>16</v>
      </c>
      <c r="S1" s="4" t="s">
        <v>17</v>
      </c>
      <c r="T1" s="1" t="s">
        <v>18</v>
      </c>
      <c r="U1" s="1"/>
      <c r="V1" s="1"/>
      <c r="W1" s="1"/>
      <c r="X1" s="1"/>
      <c r="Y1" s="1"/>
      <c r="Z1" s="1"/>
      <c r="AA1" s="1"/>
      <c r="AB1" s="1"/>
      <c r="AC1" s="1"/>
      <c r="AD1" s="1"/>
      <c r="AE1" s="1"/>
      <c r="AF1" s="1"/>
      <c r="AG1" s="1"/>
      <c r="AH1" s="1"/>
      <c r="AI1" s="1"/>
      <c r="AJ1" s="1"/>
      <c r="AK1" s="1"/>
    </row>
    <row r="2" ht="14.25" customHeight="1">
      <c r="A2" s="9" t="s">
        <v>19</v>
      </c>
      <c r="B2" s="10">
        <v>1.0</v>
      </c>
      <c r="C2" s="11" t="s">
        <v>20</v>
      </c>
      <c r="D2" s="12" t="s">
        <v>21</v>
      </c>
      <c r="E2" s="12" t="s">
        <v>21</v>
      </c>
      <c r="F2" s="12" t="s">
        <v>22</v>
      </c>
      <c r="G2" s="11" t="s">
        <v>23</v>
      </c>
      <c r="H2" s="11" t="s">
        <v>24</v>
      </c>
      <c r="I2" s="11" t="s">
        <v>25</v>
      </c>
      <c r="J2" s="13">
        <v>9.87987923387594</v>
      </c>
      <c r="K2" s="11">
        <v>2500.0</v>
      </c>
      <c r="L2" s="11" t="s">
        <v>26</v>
      </c>
      <c r="M2" s="11" t="s">
        <v>27</v>
      </c>
      <c r="N2" s="11" t="s">
        <v>28</v>
      </c>
      <c r="O2" s="14" t="s">
        <v>29</v>
      </c>
      <c r="P2" s="14" t="s">
        <v>30</v>
      </c>
      <c r="Q2" s="14" t="s">
        <v>31</v>
      </c>
      <c r="R2" s="15"/>
      <c r="S2" s="14" t="s">
        <v>32</v>
      </c>
      <c r="T2" s="11" t="s">
        <v>33</v>
      </c>
      <c r="U2" s="16"/>
      <c r="V2" s="16"/>
      <c r="W2" s="16"/>
      <c r="X2" s="17"/>
      <c r="Y2" s="17"/>
      <c r="Z2" s="17"/>
      <c r="AA2" s="17"/>
      <c r="AB2" s="17"/>
      <c r="AC2" s="17"/>
      <c r="AD2" s="17"/>
      <c r="AE2" s="17"/>
      <c r="AF2" s="17"/>
      <c r="AG2" s="17"/>
      <c r="AH2" s="17"/>
      <c r="AI2" s="17"/>
      <c r="AJ2" s="17"/>
      <c r="AK2" s="17"/>
    </row>
    <row r="3" ht="14.25" customHeight="1">
      <c r="A3" s="18"/>
      <c r="B3" s="18"/>
      <c r="C3" s="19"/>
      <c r="D3" s="20"/>
      <c r="E3" s="20"/>
      <c r="F3" s="20"/>
      <c r="G3" s="19"/>
      <c r="H3" s="19"/>
      <c r="I3" s="19"/>
      <c r="J3" s="19"/>
      <c r="K3" s="19"/>
      <c r="L3" s="19"/>
      <c r="M3" s="19"/>
      <c r="N3" s="19"/>
      <c r="O3" s="19"/>
      <c r="P3" s="19"/>
      <c r="Q3" s="19"/>
      <c r="R3" s="21"/>
      <c r="S3" s="19"/>
      <c r="T3" s="19"/>
      <c r="U3" s="19"/>
      <c r="V3" s="19"/>
      <c r="W3" s="19"/>
      <c r="X3" s="22"/>
      <c r="Y3" s="23"/>
      <c r="Z3" s="23"/>
      <c r="AA3" s="23"/>
      <c r="AB3" s="23"/>
      <c r="AC3" s="23"/>
      <c r="AD3" s="23"/>
      <c r="AE3" s="23"/>
      <c r="AF3" s="23"/>
      <c r="AG3" s="23"/>
      <c r="AH3" s="23"/>
      <c r="AI3" s="23"/>
      <c r="AJ3" s="23"/>
      <c r="AK3" s="23"/>
    </row>
    <row r="4" ht="14.25" customHeight="1">
      <c r="A4" s="17"/>
      <c r="B4" s="10">
        <v>2.0</v>
      </c>
      <c r="C4" s="11" t="s">
        <v>34</v>
      </c>
      <c r="D4" s="12" t="s">
        <v>22</v>
      </c>
      <c r="E4" s="12" t="s">
        <v>22</v>
      </c>
      <c r="F4" s="12" t="s">
        <v>35</v>
      </c>
      <c r="G4" s="11" t="s">
        <v>36</v>
      </c>
      <c r="H4" s="11" t="s">
        <v>37</v>
      </c>
      <c r="I4" s="11" t="s">
        <v>38</v>
      </c>
      <c r="J4" s="13">
        <v>36.0992538918163</v>
      </c>
      <c r="K4" s="11">
        <v>5000.0</v>
      </c>
      <c r="L4" s="11" t="s">
        <v>39</v>
      </c>
      <c r="M4" s="11" t="s">
        <v>28</v>
      </c>
      <c r="N4" s="11" t="s">
        <v>40</v>
      </c>
      <c r="O4" s="14" t="s">
        <v>29</v>
      </c>
      <c r="P4" s="14" t="s">
        <v>41</v>
      </c>
      <c r="Q4" s="16"/>
      <c r="R4" s="24"/>
      <c r="S4" s="16"/>
      <c r="T4" s="16"/>
      <c r="U4" s="16"/>
      <c r="V4" s="16"/>
      <c r="W4" s="16"/>
      <c r="X4" s="17"/>
      <c r="Y4" s="17"/>
      <c r="Z4" s="17"/>
      <c r="AA4" s="17"/>
      <c r="AB4" s="17"/>
      <c r="AC4" s="17"/>
      <c r="AD4" s="17"/>
      <c r="AE4" s="17"/>
      <c r="AF4" s="17"/>
      <c r="AG4" s="17"/>
      <c r="AH4" s="17"/>
      <c r="AI4" s="17"/>
      <c r="AJ4" s="17"/>
      <c r="AK4" s="17"/>
    </row>
    <row r="5" ht="14.25" customHeight="1">
      <c r="A5" s="17"/>
      <c r="B5" s="10"/>
      <c r="C5" s="11"/>
      <c r="D5" s="12" t="s">
        <v>22</v>
      </c>
      <c r="E5" s="12" t="s">
        <v>22</v>
      </c>
      <c r="F5" s="12" t="s">
        <v>35</v>
      </c>
      <c r="G5" s="11" t="s">
        <v>42</v>
      </c>
      <c r="H5" s="11" t="s">
        <v>43</v>
      </c>
      <c r="I5" s="11" t="s">
        <v>44</v>
      </c>
      <c r="J5" s="13">
        <v>14.2949642727044</v>
      </c>
      <c r="K5" s="14">
        <v>5000.0</v>
      </c>
      <c r="L5" s="11" t="s">
        <v>28</v>
      </c>
      <c r="M5" s="11" t="s">
        <v>45</v>
      </c>
      <c r="N5" s="11" t="s">
        <v>28</v>
      </c>
      <c r="O5" s="14" t="s">
        <v>29</v>
      </c>
      <c r="P5" s="14" t="s">
        <v>46</v>
      </c>
      <c r="Q5" s="14" t="s">
        <v>47</v>
      </c>
      <c r="R5" s="15" t="s">
        <v>47</v>
      </c>
      <c r="S5" s="25" t="s">
        <v>48</v>
      </c>
      <c r="T5" s="16"/>
      <c r="U5" s="16"/>
      <c r="V5" s="16"/>
      <c r="W5" s="16"/>
      <c r="X5" s="17"/>
      <c r="Y5" s="17"/>
      <c r="Z5" s="17"/>
      <c r="AA5" s="17"/>
      <c r="AB5" s="17"/>
      <c r="AC5" s="17"/>
      <c r="AD5" s="17"/>
      <c r="AE5" s="17"/>
      <c r="AF5" s="17"/>
      <c r="AG5" s="17"/>
      <c r="AH5" s="17"/>
      <c r="AI5" s="17"/>
      <c r="AJ5" s="17"/>
      <c r="AK5" s="17"/>
    </row>
    <row r="6" ht="14.25" customHeight="1">
      <c r="A6" s="18"/>
      <c r="B6" s="18"/>
      <c r="C6" s="26"/>
      <c r="D6" s="12" t="s">
        <v>22</v>
      </c>
      <c r="E6" s="12" t="s">
        <v>22</v>
      </c>
      <c r="F6" s="12" t="s">
        <v>35</v>
      </c>
      <c r="G6" s="27" t="s">
        <v>49</v>
      </c>
      <c r="H6" s="27" t="s">
        <v>50</v>
      </c>
      <c r="I6" s="26"/>
      <c r="J6" s="28">
        <v>13.1</v>
      </c>
      <c r="K6" s="26"/>
      <c r="L6" s="26"/>
      <c r="M6" s="26"/>
      <c r="N6" s="26"/>
      <c r="O6" s="14" t="s">
        <v>29</v>
      </c>
      <c r="P6" s="14" t="s">
        <v>51</v>
      </c>
      <c r="Q6" s="27"/>
      <c r="R6" s="29"/>
      <c r="S6" s="27"/>
      <c r="T6" s="27" t="s">
        <v>52</v>
      </c>
      <c r="U6" s="26"/>
      <c r="V6" s="26"/>
      <c r="W6" s="26"/>
      <c r="X6" s="18"/>
      <c r="Y6" s="18"/>
      <c r="Z6" s="18"/>
      <c r="AA6" s="18"/>
      <c r="AB6" s="18"/>
      <c r="AC6" s="18"/>
      <c r="AD6" s="18"/>
      <c r="AE6" s="18"/>
      <c r="AF6" s="18"/>
      <c r="AG6" s="18"/>
      <c r="AH6" s="18"/>
      <c r="AI6" s="18"/>
      <c r="AJ6" s="18"/>
      <c r="AK6" s="18"/>
    </row>
    <row r="7" ht="14.25" customHeight="1">
      <c r="A7" s="18"/>
      <c r="B7" s="18"/>
      <c r="C7" s="19"/>
      <c r="D7" s="20"/>
      <c r="E7" s="20"/>
      <c r="F7" s="20"/>
      <c r="G7" s="19"/>
      <c r="H7" s="19"/>
      <c r="I7" s="19"/>
      <c r="J7" s="19"/>
      <c r="K7" s="19"/>
      <c r="L7" s="19"/>
      <c r="M7" s="19"/>
      <c r="N7" s="19"/>
      <c r="O7" s="19"/>
      <c r="P7" s="19"/>
      <c r="Q7" s="19"/>
      <c r="R7" s="21"/>
      <c r="S7" s="19"/>
      <c r="T7" s="19"/>
      <c r="U7" s="19"/>
      <c r="V7" s="19"/>
      <c r="W7" s="19"/>
      <c r="X7" s="22"/>
      <c r="Y7" s="23"/>
      <c r="Z7" s="23"/>
      <c r="AA7" s="23"/>
      <c r="AB7" s="23"/>
      <c r="AC7" s="23"/>
      <c r="AD7" s="23"/>
      <c r="AE7" s="23"/>
      <c r="AF7" s="23"/>
      <c r="AG7" s="23"/>
      <c r="AH7" s="23"/>
      <c r="AI7" s="23"/>
      <c r="AJ7" s="23"/>
      <c r="AK7" s="23"/>
    </row>
    <row r="8" ht="14.25" customHeight="1">
      <c r="A8" s="17"/>
      <c r="B8" s="10">
        <v>3.0</v>
      </c>
      <c r="C8" s="11" t="s">
        <v>53</v>
      </c>
      <c r="D8" s="12" t="s">
        <v>54</v>
      </c>
      <c r="E8" s="12" t="s">
        <v>54</v>
      </c>
      <c r="F8" s="12" t="s">
        <v>55</v>
      </c>
      <c r="G8" s="11" t="s">
        <v>56</v>
      </c>
      <c r="H8" s="30" t="s">
        <v>57</v>
      </c>
      <c r="I8" s="30" t="s">
        <v>58</v>
      </c>
      <c r="J8" s="31">
        <v>21.1834831689428</v>
      </c>
      <c r="K8" s="30">
        <v>4000.0</v>
      </c>
      <c r="L8" s="11" t="s">
        <v>27</v>
      </c>
      <c r="M8" s="11" t="s">
        <v>45</v>
      </c>
      <c r="N8" s="11" t="s">
        <v>28</v>
      </c>
      <c r="O8" s="14" t="s">
        <v>59</v>
      </c>
      <c r="P8" s="14" t="s">
        <v>30</v>
      </c>
      <c r="Q8" s="14" t="s">
        <v>60</v>
      </c>
      <c r="R8" s="15" t="s">
        <v>61</v>
      </c>
      <c r="S8" s="14" t="s">
        <v>62</v>
      </c>
      <c r="T8" s="16"/>
      <c r="U8" s="16"/>
      <c r="V8" s="16"/>
      <c r="W8" s="16"/>
      <c r="X8" s="17"/>
      <c r="Y8" s="17"/>
      <c r="Z8" s="17"/>
      <c r="AA8" s="17"/>
      <c r="AB8" s="17"/>
      <c r="AC8" s="17"/>
      <c r="AD8" s="17"/>
      <c r="AE8" s="17"/>
      <c r="AF8" s="17"/>
      <c r="AG8" s="17"/>
      <c r="AH8" s="17"/>
      <c r="AI8" s="17"/>
      <c r="AJ8" s="17"/>
      <c r="AK8" s="17"/>
    </row>
    <row r="9" ht="14.25" customHeight="1">
      <c r="C9" s="32"/>
      <c r="D9" s="12" t="s">
        <v>54</v>
      </c>
      <c r="E9" s="12" t="s">
        <v>54</v>
      </c>
      <c r="F9" s="12" t="s">
        <v>55</v>
      </c>
      <c r="G9" s="11" t="s">
        <v>63</v>
      </c>
      <c r="H9" s="30" t="s">
        <v>64</v>
      </c>
      <c r="I9" s="30" t="s">
        <v>65</v>
      </c>
      <c r="J9" s="31">
        <v>22.4673087164735</v>
      </c>
      <c r="K9" s="30">
        <v>4000.0</v>
      </c>
      <c r="L9" s="30">
        <v>-999.0</v>
      </c>
      <c r="M9" s="30">
        <v>-999.0</v>
      </c>
      <c r="N9" s="30" t="s">
        <v>45</v>
      </c>
      <c r="O9" s="14" t="s">
        <v>29</v>
      </c>
      <c r="P9" s="14" t="s">
        <v>66</v>
      </c>
      <c r="Q9" s="14"/>
      <c r="R9" s="15"/>
      <c r="S9" s="14"/>
      <c r="T9" s="30" t="s">
        <v>67</v>
      </c>
      <c r="U9" s="32"/>
      <c r="V9" s="32"/>
      <c r="W9" s="32"/>
    </row>
    <row r="10" ht="14.25" customHeight="1">
      <c r="A10" s="18"/>
      <c r="B10" s="18"/>
      <c r="C10" s="19"/>
      <c r="D10" s="20"/>
      <c r="E10" s="20"/>
      <c r="F10" s="20"/>
      <c r="G10" s="19"/>
      <c r="H10" s="19"/>
      <c r="I10" s="19"/>
      <c r="J10" s="19"/>
      <c r="K10" s="19"/>
      <c r="L10" s="19"/>
      <c r="M10" s="19"/>
      <c r="N10" s="19"/>
      <c r="O10" s="19"/>
      <c r="P10" s="19"/>
      <c r="Q10" s="19"/>
      <c r="R10" s="21"/>
      <c r="S10" s="19"/>
      <c r="T10" s="19"/>
      <c r="U10" s="19"/>
      <c r="V10" s="19"/>
      <c r="W10" s="19"/>
      <c r="X10" s="22"/>
      <c r="Y10" s="23"/>
      <c r="Z10" s="23"/>
      <c r="AA10" s="23"/>
      <c r="AB10" s="23"/>
      <c r="AC10" s="23"/>
      <c r="AD10" s="23"/>
      <c r="AE10" s="23"/>
      <c r="AF10" s="23"/>
      <c r="AG10" s="23"/>
      <c r="AH10" s="23"/>
      <c r="AI10" s="23"/>
      <c r="AJ10" s="23"/>
      <c r="AK10" s="23"/>
    </row>
    <row r="11" ht="14.25" customHeight="1">
      <c r="A11" s="17"/>
      <c r="B11" s="10">
        <v>4.0</v>
      </c>
      <c r="C11" s="11" t="s">
        <v>68</v>
      </c>
      <c r="D11" s="33" t="s">
        <v>69</v>
      </c>
      <c r="E11" s="33" t="s">
        <v>69</v>
      </c>
      <c r="F11" s="12" t="s">
        <v>21</v>
      </c>
      <c r="G11" s="11" t="s">
        <v>70</v>
      </c>
      <c r="H11" s="11" t="s">
        <v>71</v>
      </c>
      <c r="I11" s="11" t="s">
        <v>72</v>
      </c>
      <c r="J11" s="13">
        <v>11.1543254187894</v>
      </c>
      <c r="K11" s="11">
        <v>2000.0</v>
      </c>
      <c r="L11" s="11"/>
      <c r="M11" s="11" t="s">
        <v>73</v>
      </c>
      <c r="N11" s="11" t="s">
        <v>62</v>
      </c>
      <c r="O11" s="34" t="s">
        <v>29</v>
      </c>
      <c r="P11" s="34" t="s">
        <v>74</v>
      </c>
      <c r="Q11" s="11"/>
      <c r="R11" s="35"/>
      <c r="S11" s="11"/>
      <c r="T11" s="36" t="s">
        <v>75</v>
      </c>
      <c r="U11" s="16"/>
      <c r="V11" s="16"/>
      <c r="W11" s="16"/>
      <c r="X11" s="17"/>
      <c r="Y11" s="17"/>
      <c r="Z11" s="17"/>
      <c r="AA11" s="17"/>
      <c r="AB11" s="17"/>
      <c r="AC11" s="17"/>
      <c r="AD11" s="17"/>
      <c r="AE11" s="17"/>
      <c r="AF11" s="17"/>
      <c r="AG11" s="17"/>
      <c r="AH11" s="17"/>
      <c r="AI11" s="17"/>
      <c r="AJ11" s="17"/>
      <c r="AK11" s="17"/>
    </row>
    <row r="12" ht="67.5" customHeight="1">
      <c r="C12" s="32"/>
      <c r="D12" s="33" t="s">
        <v>69</v>
      </c>
      <c r="E12" s="33" t="s">
        <v>69</v>
      </c>
      <c r="F12" s="33" t="s">
        <v>21</v>
      </c>
      <c r="G12" s="30" t="s">
        <v>76</v>
      </c>
      <c r="H12" s="30" t="s">
        <v>77</v>
      </c>
      <c r="I12" s="30" t="s">
        <v>78</v>
      </c>
      <c r="J12" s="13">
        <v>10.8059097964622</v>
      </c>
      <c r="K12" s="30">
        <v>2000.0</v>
      </c>
      <c r="L12" s="11"/>
      <c r="M12" s="11" t="s">
        <v>73</v>
      </c>
      <c r="N12" s="30" t="s">
        <v>39</v>
      </c>
      <c r="O12" s="34" t="s">
        <v>29</v>
      </c>
      <c r="P12" s="34" t="s">
        <v>74</v>
      </c>
      <c r="Q12" s="11"/>
      <c r="R12" s="35"/>
      <c r="S12" s="11"/>
      <c r="T12" s="37"/>
      <c r="U12" s="32"/>
      <c r="V12" s="32"/>
      <c r="W12" s="32"/>
    </row>
    <row r="13" ht="14.25" customHeight="1">
      <c r="A13" s="18"/>
      <c r="B13" s="18"/>
      <c r="C13" s="19"/>
      <c r="D13" s="20"/>
      <c r="E13" s="20"/>
      <c r="F13" s="20"/>
      <c r="G13" s="19"/>
      <c r="H13" s="19"/>
      <c r="I13" s="19"/>
      <c r="J13" s="19"/>
      <c r="K13" s="19"/>
      <c r="L13" s="19"/>
      <c r="M13" s="19"/>
      <c r="N13" s="19"/>
      <c r="O13" s="19"/>
      <c r="P13" s="19"/>
      <c r="Q13" s="19"/>
      <c r="R13" s="21"/>
      <c r="S13" s="19"/>
      <c r="T13" s="19"/>
      <c r="U13" s="19"/>
      <c r="V13" s="19"/>
      <c r="W13" s="19"/>
      <c r="X13" s="22"/>
      <c r="Y13" s="23"/>
      <c r="Z13" s="23"/>
      <c r="AA13" s="23"/>
      <c r="AB13" s="23"/>
      <c r="AC13" s="23"/>
      <c r="AD13" s="23"/>
      <c r="AE13" s="23"/>
      <c r="AF13" s="23"/>
      <c r="AG13" s="23"/>
      <c r="AH13" s="23"/>
      <c r="AI13" s="23"/>
      <c r="AJ13" s="23"/>
      <c r="AK13" s="23"/>
    </row>
    <row r="14" ht="14.25" customHeight="1">
      <c r="A14" s="17"/>
      <c r="B14" s="10">
        <v>5.0</v>
      </c>
      <c r="C14" s="11" t="s">
        <v>79</v>
      </c>
      <c r="D14" s="38" t="s">
        <v>55</v>
      </c>
      <c r="E14" s="38" t="s">
        <v>55</v>
      </c>
      <c r="F14" s="38" t="s">
        <v>80</v>
      </c>
      <c r="G14" s="39" t="s">
        <v>81</v>
      </c>
      <c r="H14" s="11" t="s">
        <v>82</v>
      </c>
      <c r="I14" s="11" t="s">
        <v>83</v>
      </c>
      <c r="J14" s="13">
        <v>10.5882616712762</v>
      </c>
      <c r="K14" s="11">
        <v>2500.0</v>
      </c>
      <c r="L14" s="40" t="s">
        <v>84</v>
      </c>
      <c r="M14" s="11" t="s">
        <v>45</v>
      </c>
      <c r="N14" s="11" t="s">
        <v>39</v>
      </c>
      <c r="O14" s="14" t="s">
        <v>29</v>
      </c>
      <c r="P14" s="14" t="s">
        <v>85</v>
      </c>
      <c r="Q14" s="14" t="s">
        <v>86</v>
      </c>
      <c r="R14" s="15"/>
      <c r="S14" s="14" t="s">
        <v>32</v>
      </c>
      <c r="T14" s="16"/>
      <c r="U14" s="16"/>
      <c r="V14" s="16"/>
      <c r="W14" s="16"/>
      <c r="X14" s="17"/>
      <c r="Y14" s="17"/>
      <c r="Z14" s="17"/>
      <c r="AA14" s="17"/>
      <c r="AB14" s="17"/>
      <c r="AC14" s="17"/>
      <c r="AD14" s="17"/>
      <c r="AE14" s="17"/>
      <c r="AF14" s="17"/>
      <c r="AG14" s="17"/>
      <c r="AH14" s="17"/>
      <c r="AI14" s="17"/>
      <c r="AJ14" s="17"/>
      <c r="AK14" s="17"/>
    </row>
    <row r="15" ht="14.25" customHeight="1">
      <c r="C15" s="32"/>
      <c r="D15" s="38" t="s">
        <v>55</v>
      </c>
      <c r="E15" s="38" t="s">
        <v>55</v>
      </c>
      <c r="F15" s="38" t="s">
        <v>80</v>
      </c>
      <c r="G15" s="39" t="s">
        <v>87</v>
      </c>
      <c r="H15" s="30" t="s">
        <v>88</v>
      </c>
      <c r="I15" s="30" t="s">
        <v>89</v>
      </c>
      <c r="J15" s="13">
        <v>7.62954652704321</v>
      </c>
      <c r="K15" s="30">
        <v>2000.0</v>
      </c>
      <c r="L15" s="30"/>
      <c r="M15" s="30" t="s">
        <v>90</v>
      </c>
      <c r="N15" s="30" t="s">
        <v>28</v>
      </c>
      <c r="O15" s="14" t="s">
        <v>29</v>
      </c>
      <c r="P15" s="14" t="s">
        <v>66</v>
      </c>
      <c r="Q15" s="30"/>
      <c r="R15" s="41"/>
      <c r="S15" s="30"/>
      <c r="T15" s="30" t="s">
        <v>91</v>
      </c>
      <c r="U15" s="32"/>
      <c r="V15" s="32"/>
      <c r="W15" s="32"/>
    </row>
    <row r="16" ht="14.25" customHeight="1">
      <c r="C16" s="19"/>
      <c r="D16" s="20"/>
      <c r="E16" s="20"/>
      <c r="F16" s="20"/>
      <c r="G16" s="19"/>
      <c r="H16" s="19"/>
      <c r="I16" s="19"/>
      <c r="J16" s="19"/>
      <c r="K16" s="19"/>
      <c r="L16" s="19"/>
      <c r="M16" s="19"/>
      <c r="N16" s="19"/>
      <c r="O16" s="19"/>
      <c r="P16" s="19"/>
      <c r="Q16" s="19"/>
      <c r="R16" s="21"/>
      <c r="S16" s="19"/>
      <c r="T16" s="19"/>
      <c r="U16" s="19"/>
      <c r="V16" s="19"/>
      <c r="W16" s="19"/>
      <c r="X16" s="22"/>
      <c r="Y16" s="23"/>
    </row>
    <row r="17" ht="14.25" customHeight="1">
      <c r="B17" s="42">
        <v>6.0</v>
      </c>
      <c r="C17" s="30" t="s">
        <v>92</v>
      </c>
      <c r="D17" s="38" t="s">
        <v>35</v>
      </c>
      <c r="E17" s="38" t="s">
        <v>35</v>
      </c>
      <c r="F17" s="38" t="s">
        <v>54</v>
      </c>
      <c r="G17" s="39" t="s">
        <v>93</v>
      </c>
      <c r="H17" s="30" t="s">
        <v>94</v>
      </c>
      <c r="I17" s="11" t="s">
        <v>95</v>
      </c>
      <c r="J17" s="13">
        <v>7.32496317929443</v>
      </c>
      <c r="K17" s="30">
        <v>2000.0</v>
      </c>
      <c r="L17" s="30" t="s">
        <v>27</v>
      </c>
      <c r="M17" s="30" t="s">
        <v>28</v>
      </c>
      <c r="N17" s="30" t="s">
        <v>40</v>
      </c>
      <c r="O17" s="43" t="s">
        <v>59</v>
      </c>
      <c r="P17" s="43" t="s">
        <v>96</v>
      </c>
      <c r="Q17" s="44" t="s">
        <v>47</v>
      </c>
      <c r="R17" s="45" t="s">
        <v>47</v>
      </c>
      <c r="S17" s="43" t="s">
        <v>97</v>
      </c>
      <c r="T17" s="30" t="s">
        <v>98</v>
      </c>
      <c r="U17" s="32"/>
      <c r="V17" s="32"/>
      <c r="W17" s="32"/>
    </row>
    <row r="18" ht="14.25" customHeight="1">
      <c r="A18" s="46"/>
      <c r="B18" s="47"/>
      <c r="C18" s="48"/>
      <c r="D18" s="49"/>
      <c r="E18" s="49"/>
      <c r="F18" s="49"/>
      <c r="G18" s="48"/>
      <c r="H18" s="48"/>
      <c r="I18" s="48"/>
      <c r="J18" s="48"/>
      <c r="K18" s="48"/>
      <c r="L18" s="48"/>
      <c r="M18" s="48"/>
      <c r="N18" s="48"/>
      <c r="O18" s="48"/>
      <c r="P18" s="48"/>
      <c r="Q18" s="48"/>
      <c r="R18" s="50"/>
      <c r="S18" s="48"/>
      <c r="T18" s="48"/>
      <c r="U18" s="48"/>
      <c r="V18" s="48"/>
      <c r="W18" s="48"/>
      <c r="X18" s="51"/>
      <c r="Y18" s="46"/>
      <c r="Z18" s="46"/>
      <c r="AA18" s="46"/>
      <c r="AB18" s="46"/>
      <c r="AC18" s="46"/>
      <c r="AD18" s="46"/>
      <c r="AE18" s="46"/>
      <c r="AF18" s="46"/>
      <c r="AG18" s="46"/>
      <c r="AH18" s="46"/>
      <c r="AI18" s="46"/>
      <c r="AJ18" s="46"/>
      <c r="AK18" s="46"/>
    </row>
    <row r="19" ht="14.25" customHeight="1">
      <c r="A19" s="52" t="s">
        <v>99</v>
      </c>
      <c r="B19" s="42">
        <v>1.0</v>
      </c>
      <c r="C19" s="30" t="s">
        <v>100</v>
      </c>
      <c r="D19" s="53" t="s">
        <v>101</v>
      </c>
      <c r="E19" s="53" t="s">
        <v>101</v>
      </c>
      <c r="F19" s="53" t="s">
        <v>102</v>
      </c>
      <c r="G19" s="39" t="s">
        <v>81</v>
      </c>
      <c r="H19" s="11" t="s">
        <v>103</v>
      </c>
      <c r="J19" s="54">
        <v>26.9</v>
      </c>
      <c r="K19" s="11">
        <v>4000.0</v>
      </c>
      <c r="L19" s="11" t="s">
        <v>104</v>
      </c>
      <c r="M19" s="11" t="s">
        <v>105</v>
      </c>
      <c r="N19" s="11" t="s">
        <v>62</v>
      </c>
      <c r="O19" s="14" t="s">
        <v>59</v>
      </c>
      <c r="P19" s="14" t="s">
        <v>106</v>
      </c>
      <c r="Q19" s="14" t="s">
        <v>107</v>
      </c>
      <c r="R19" s="15" t="s">
        <v>61</v>
      </c>
      <c r="S19" s="14" t="s">
        <v>108</v>
      </c>
      <c r="T19" s="36" t="s">
        <v>109</v>
      </c>
      <c r="U19" s="32"/>
      <c r="V19" s="32"/>
      <c r="W19" s="32"/>
    </row>
    <row r="20" ht="14.25" customHeight="1">
      <c r="C20" s="32"/>
      <c r="D20" s="53" t="s">
        <v>101</v>
      </c>
      <c r="E20" s="53" t="s">
        <v>101</v>
      </c>
      <c r="F20" s="53" t="s">
        <v>102</v>
      </c>
      <c r="G20" s="39" t="s">
        <v>110</v>
      </c>
      <c r="H20" s="11" t="s">
        <v>111</v>
      </c>
      <c r="I20" s="11"/>
      <c r="J20" s="55"/>
      <c r="K20" s="11">
        <v>4000.0</v>
      </c>
      <c r="L20" s="11" t="s">
        <v>104</v>
      </c>
      <c r="M20" s="30" t="s">
        <v>105</v>
      </c>
      <c r="N20" s="30" t="s">
        <v>62</v>
      </c>
      <c r="O20" s="14" t="s">
        <v>59</v>
      </c>
      <c r="P20" s="14" t="s">
        <v>106</v>
      </c>
      <c r="Q20" s="14" t="s">
        <v>107</v>
      </c>
      <c r="R20" s="15" t="s">
        <v>61</v>
      </c>
      <c r="S20" s="14" t="s">
        <v>108</v>
      </c>
      <c r="T20" s="56"/>
      <c r="U20" s="32"/>
      <c r="V20" s="32"/>
      <c r="W20" s="32"/>
    </row>
    <row r="21" ht="14.25" customHeight="1">
      <c r="A21" s="18"/>
      <c r="B21" s="18"/>
      <c r="C21" s="26"/>
      <c r="D21" s="53" t="s">
        <v>101</v>
      </c>
      <c r="E21" s="53" t="s">
        <v>101</v>
      </c>
      <c r="F21" s="53" t="s">
        <v>102</v>
      </c>
      <c r="G21" s="27" t="s">
        <v>112</v>
      </c>
      <c r="H21" s="27" t="s">
        <v>113</v>
      </c>
      <c r="I21" s="27"/>
      <c r="J21" s="28">
        <v>11.7</v>
      </c>
      <c r="K21" s="27">
        <v>3000.0</v>
      </c>
      <c r="L21" s="27" t="s">
        <v>104</v>
      </c>
      <c r="M21" s="27" t="s">
        <v>105</v>
      </c>
      <c r="N21" s="27" t="s">
        <v>62</v>
      </c>
      <c r="O21" s="14" t="s">
        <v>59</v>
      </c>
      <c r="P21" s="14" t="s">
        <v>106</v>
      </c>
      <c r="Q21" s="14" t="s">
        <v>107</v>
      </c>
      <c r="R21" s="15" t="s">
        <v>61</v>
      </c>
      <c r="S21" s="14" t="s">
        <v>108</v>
      </c>
      <c r="T21" s="37"/>
      <c r="U21" s="26"/>
      <c r="V21" s="26"/>
      <c r="W21" s="26"/>
      <c r="X21" s="18"/>
      <c r="Y21" s="18"/>
      <c r="Z21" s="18"/>
      <c r="AA21" s="18"/>
      <c r="AB21" s="18"/>
      <c r="AC21" s="18"/>
      <c r="AD21" s="18"/>
      <c r="AE21" s="18"/>
      <c r="AF21" s="18"/>
      <c r="AG21" s="18"/>
      <c r="AH21" s="18"/>
      <c r="AI21" s="18"/>
      <c r="AJ21" s="18"/>
      <c r="AK21" s="18"/>
    </row>
    <row r="22" ht="14.25" customHeight="1">
      <c r="A22" s="17"/>
      <c r="B22" s="10">
        <v>2.0</v>
      </c>
      <c r="C22" s="11" t="s">
        <v>49</v>
      </c>
      <c r="D22" s="53" t="s">
        <v>101</v>
      </c>
      <c r="E22" s="53" t="s">
        <v>101</v>
      </c>
      <c r="F22" s="53" t="s">
        <v>102</v>
      </c>
      <c r="G22" s="39" t="s">
        <v>114</v>
      </c>
      <c r="H22" s="11" t="s">
        <v>115</v>
      </c>
      <c r="I22" s="11"/>
      <c r="J22" s="57">
        <v>26.9</v>
      </c>
      <c r="K22" s="11">
        <v>4000.0</v>
      </c>
      <c r="L22" s="11" t="s">
        <v>27</v>
      </c>
      <c r="M22" s="11" t="s">
        <v>45</v>
      </c>
      <c r="N22" s="11" t="s">
        <v>45</v>
      </c>
      <c r="O22" s="14" t="s">
        <v>59</v>
      </c>
      <c r="P22" s="25" t="s">
        <v>106</v>
      </c>
      <c r="Q22" s="14" t="s">
        <v>107</v>
      </c>
      <c r="R22" s="15" t="s">
        <v>61</v>
      </c>
      <c r="S22" s="14" t="s">
        <v>108</v>
      </c>
      <c r="T22" s="16"/>
      <c r="U22" s="16"/>
      <c r="V22" s="16"/>
      <c r="W22" s="16"/>
      <c r="X22" s="17"/>
      <c r="Y22" s="17"/>
      <c r="Z22" s="17"/>
      <c r="AA22" s="17"/>
      <c r="AB22" s="17"/>
      <c r="AC22" s="17"/>
      <c r="AD22" s="17"/>
      <c r="AE22" s="17"/>
      <c r="AF22" s="17"/>
      <c r="AG22" s="17"/>
      <c r="AH22" s="17"/>
      <c r="AI22" s="17"/>
      <c r="AJ22" s="17"/>
      <c r="AK22" s="17"/>
    </row>
    <row r="23" ht="14.25" customHeight="1">
      <c r="A23" s="18"/>
      <c r="B23" s="18"/>
      <c r="C23" s="19"/>
      <c r="D23" s="20"/>
      <c r="E23" s="20"/>
      <c r="F23" s="20"/>
      <c r="G23" s="19"/>
      <c r="H23" s="19"/>
      <c r="I23" s="19"/>
      <c r="J23" s="19"/>
      <c r="K23" s="19"/>
      <c r="L23" s="19"/>
      <c r="M23" s="19"/>
      <c r="N23" s="19"/>
      <c r="O23" s="19"/>
      <c r="P23" s="19"/>
      <c r="Q23" s="19"/>
      <c r="R23" s="21"/>
      <c r="S23" s="19"/>
      <c r="T23" s="19"/>
      <c r="U23" s="19"/>
      <c r="V23" s="19"/>
      <c r="W23" s="19"/>
      <c r="X23" s="22"/>
      <c r="Y23" s="23"/>
      <c r="Z23" s="23"/>
      <c r="AA23" s="23"/>
      <c r="AB23" s="23"/>
      <c r="AC23" s="23"/>
      <c r="AD23" s="23"/>
      <c r="AE23" s="23"/>
      <c r="AF23" s="23"/>
      <c r="AG23" s="23"/>
      <c r="AH23" s="23"/>
      <c r="AI23" s="23"/>
      <c r="AJ23" s="23"/>
      <c r="AK23" s="23"/>
    </row>
    <row r="24" ht="14.25" customHeight="1">
      <c r="B24" s="42">
        <v>3.0</v>
      </c>
      <c r="C24" s="30" t="s">
        <v>34</v>
      </c>
      <c r="D24" s="38" t="s">
        <v>116</v>
      </c>
      <c r="E24" s="38" t="s">
        <v>116</v>
      </c>
      <c r="F24" s="38" t="s">
        <v>35</v>
      </c>
      <c r="G24" s="39" t="s">
        <v>117</v>
      </c>
      <c r="H24" s="11" t="s">
        <v>118</v>
      </c>
      <c r="I24" s="58" t="s">
        <v>119</v>
      </c>
      <c r="J24" s="13">
        <v>41.0655755792811</v>
      </c>
      <c r="K24" s="11">
        <v>6000.0</v>
      </c>
      <c r="L24" s="11" t="s">
        <v>28</v>
      </c>
      <c r="M24" s="11" t="s">
        <v>28</v>
      </c>
      <c r="N24" s="11" t="s">
        <v>39</v>
      </c>
      <c r="O24" s="14" t="s">
        <v>59</v>
      </c>
      <c r="P24" s="14" t="s">
        <v>120</v>
      </c>
      <c r="Q24" s="14" t="s">
        <v>121</v>
      </c>
      <c r="R24" s="45" t="s">
        <v>122</v>
      </c>
      <c r="S24" s="14" t="s">
        <v>39</v>
      </c>
      <c r="T24" s="36" t="s">
        <v>123</v>
      </c>
      <c r="U24" s="32"/>
      <c r="V24" s="32"/>
      <c r="W24" s="32"/>
    </row>
    <row r="25" ht="14.25" customHeight="1">
      <c r="C25" s="32"/>
      <c r="D25" s="38" t="s">
        <v>116</v>
      </c>
      <c r="E25" s="38" t="s">
        <v>116</v>
      </c>
      <c r="F25" s="38" t="s">
        <v>35</v>
      </c>
      <c r="G25" s="39" t="s">
        <v>124</v>
      </c>
      <c r="H25" s="58" t="s">
        <v>125</v>
      </c>
      <c r="I25" s="58" t="s">
        <v>126</v>
      </c>
      <c r="J25" s="13">
        <v>43.4330717020682</v>
      </c>
      <c r="K25" s="58" t="s">
        <v>127</v>
      </c>
      <c r="L25" s="30" t="s">
        <v>62</v>
      </c>
      <c r="M25" s="30" t="s">
        <v>128</v>
      </c>
      <c r="N25" s="30" t="s">
        <v>39</v>
      </c>
      <c r="O25" s="14" t="s">
        <v>59</v>
      </c>
      <c r="P25" s="14" t="s">
        <v>120</v>
      </c>
      <c r="Q25" s="14" t="s">
        <v>121</v>
      </c>
      <c r="R25" s="45" t="s">
        <v>122</v>
      </c>
      <c r="S25" s="14" t="s">
        <v>62</v>
      </c>
      <c r="T25" s="37"/>
      <c r="U25" s="32"/>
      <c r="V25" s="32"/>
      <c r="W25" s="32"/>
    </row>
    <row r="26" ht="14.25" customHeight="1">
      <c r="A26" s="18"/>
      <c r="B26" s="18"/>
      <c r="C26" s="19"/>
      <c r="D26" s="20"/>
      <c r="E26" s="20"/>
      <c r="F26" s="20"/>
      <c r="G26" s="19"/>
      <c r="H26" s="19"/>
      <c r="I26" s="19"/>
      <c r="J26" s="19"/>
      <c r="K26" s="19"/>
      <c r="L26" s="19"/>
      <c r="M26" s="19"/>
      <c r="N26" s="19"/>
      <c r="O26" s="19"/>
      <c r="P26" s="19"/>
      <c r="Q26" s="19"/>
      <c r="R26" s="21"/>
      <c r="S26" s="19"/>
      <c r="T26" s="19"/>
      <c r="U26" s="19"/>
      <c r="V26" s="19"/>
      <c r="W26" s="19"/>
      <c r="X26" s="22"/>
      <c r="Y26" s="23"/>
      <c r="Z26" s="23"/>
      <c r="AA26" s="23"/>
      <c r="AB26" s="23"/>
      <c r="AC26" s="23"/>
      <c r="AD26" s="23"/>
      <c r="AE26" s="23"/>
      <c r="AF26" s="23"/>
      <c r="AG26" s="23"/>
      <c r="AH26" s="23"/>
      <c r="AI26" s="23"/>
      <c r="AJ26" s="23"/>
      <c r="AK26" s="23"/>
    </row>
    <row r="27" ht="14.25" customHeight="1">
      <c r="A27" s="17"/>
      <c r="B27" s="10">
        <v>4.0</v>
      </c>
      <c r="C27" s="11" t="s">
        <v>129</v>
      </c>
      <c r="D27" s="38" t="s">
        <v>130</v>
      </c>
      <c r="E27" s="38" t="s">
        <v>130</v>
      </c>
      <c r="F27" s="38" t="s">
        <v>131</v>
      </c>
      <c r="G27" s="39" t="s">
        <v>132</v>
      </c>
      <c r="H27" s="11" t="s">
        <v>133</v>
      </c>
      <c r="I27" s="11" t="s">
        <v>134</v>
      </c>
      <c r="J27" s="13">
        <v>16.3387165511486</v>
      </c>
      <c r="K27" s="11">
        <v>4000.0</v>
      </c>
      <c r="L27" s="11" t="s">
        <v>27</v>
      </c>
      <c r="M27" s="11" t="s">
        <v>45</v>
      </c>
      <c r="N27" s="11" t="s">
        <v>28</v>
      </c>
      <c r="O27" s="14" t="s">
        <v>59</v>
      </c>
      <c r="P27" s="14" t="s">
        <v>135</v>
      </c>
      <c r="Q27" s="14" t="s">
        <v>136</v>
      </c>
      <c r="R27" s="14" t="s">
        <v>136</v>
      </c>
      <c r="S27" s="14" t="s">
        <v>97</v>
      </c>
      <c r="T27" s="16"/>
      <c r="U27" s="16"/>
      <c r="V27" s="16"/>
      <c r="W27" s="16"/>
      <c r="X27" s="17"/>
      <c r="Y27" s="17"/>
      <c r="Z27" s="17"/>
      <c r="AA27" s="17"/>
      <c r="AB27" s="17"/>
      <c r="AC27" s="17"/>
      <c r="AD27" s="17"/>
      <c r="AE27" s="17"/>
      <c r="AF27" s="17"/>
      <c r="AG27" s="17"/>
      <c r="AH27" s="17"/>
      <c r="AI27" s="17"/>
      <c r="AJ27" s="17"/>
      <c r="AK27" s="17"/>
    </row>
    <row r="28" ht="14.25" customHeight="1">
      <c r="C28" s="32"/>
      <c r="D28" s="33" t="s">
        <v>130</v>
      </c>
      <c r="E28" s="33" t="s">
        <v>130</v>
      </c>
      <c r="F28" s="33" t="s">
        <v>131</v>
      </c>
      <c r="G28" s="30" t="s">
        <v>137</v>
      </c>
      <c r="H28" s="30" t="s">
        <v>138</v>
      </c>
      <c r="I28" s="30"/>
      <c r="J28" s="59">
        <v>50.4</v>
      </c>
      <c r="K28" s="30">
        <v>7000.0</v>
      </c>
      <c r="L28" s="30" t="s">
        <v>45</v>
      </c>
      <c r="M28" s="30" t="s">
        <v>90</v>
      </c>
      <c r="N28" s="30" t="s">
        <v>27</v>
      </c>
      <c r="O28" s="43" t="s">
        <v>29</v>
      </c>
      <c r="P28" s="43" t="s">
        <v>139</v>
      </c>
      <c r="Q28" s="43" t="s">
        <v>107</v>
      </c>
      <c r="R28" s="43" t="s">
        <v>107</v>
      </c>
      <c r="S28" s="43" t="s">
        <v>140</v>
      </c>
      <c r="T28" s="32"/>
      <c r="U28" s="32"/>
      <c r="V28" s="32"/>
      <c r="W28" s="32"/>
    </row>
    <row r="29" ht="14.25" customHeight="1">
      <c r="A29" s="18"/>
      <c r="B29" s="18"/>
      <c r="C29" s="19"/>
      <c r="D29" s="20"/>
      <c r="E29" s="20"/>
      <c r="F29" s="20"/>
      <c r="G29" s="19"/>
      <c r="H29" s="19"/>
      <c r="I29" s="19"/>
      <c r="J29" s="19"/>
      <c r="K29" s="19"/>
      <c r="L29" s="19"/>
      <c r="M29" s="19"/>
      <c r="N29" s="19"/>
      <c r="O29" s="19"/>
      <c r="P29" s="19"/>
      <c r="Q29" s="19"/>
      <c r="R29" s="21"/>
      <c r="S29" s="19"/>
      <c r="T29" s="19"/>
      <c r="U29" s="19"/>
      <c r="V29" s="19"/>
      <c r="W29" s="19"/>
      <c r="X29" s="22"/>
      <c r="Y29" s="23"/>
      <c r="Z29" s="23"/>
      <c r="AA29" s="23"/>
      <c r="AB29" s="23"/>
      <c r="AC29" s="23"/>
      <c r="AD29" s="23"/>
      <c r="AE29" s="23"/>
      <c r="AF29" s="23"/>
      <c r="AG29" s="23"/>
      <c r="AH29" s="23"/>
      <c r="AI29" s="23"/>
      <c r="AJ29" s="23"/>
      <c r="AK29" s="23"/>
    </row>
    <row r="30" ht="14.25" customHeight="1">
      <c r="B30" s="42">
        <v>5.0</v>
      </c>
      <c r="C30" s="30" t="s">
        <v>141</v>
      </c>
      <c r="D30" s="38" t="s">
        <v>142</v>
      </c>
      <c r="E30" s="38" t="s">
        <v>142</v>
      </c>
      <c r="F30" s="38" t="s">
        <v>143</v>
      </c>
      <c r="G30" s="39" t="s">
        <v>144</v>
      </c>
      <c r="H30" s="11" t="s">
        <v>145</v>
      </c>
      <c r="I30" s="11" t="s">
        <v>146</v>
      </c>
      <c r="J30" s="13">
        <v>14.4210777284968</v>
      </c>
      <c r="K30" s="11">
        <v>2000.0</v>
      </c>
      <c r="L30" s="11" t="s">
        <v>40</v>
      </c>
      <c r="M30" s="11" t="s">
        <v>128</v>
      </c>
      <c r="N30" s="11" t="s">
        <v>39</v>
      </c>
      <c r="O30" s="60" t="s">
        <v>29</v>
      </c>
      <c r="P30" s="60" t="s">
        <v>41</v>
      </c>
      <c r="Q30" s="36"/>
      <c r="R30" s="61"/>
      <c r="S30" s="36"/>
      <c r="T30" s="36" t="s">
        <v>147</v>
      </c>
      <c r="U30" s="32"/>
      <c r="V30" s="32"/>
      <c r="W30" s="32"/>
    </row>
    <row r="31" ht="14.25" customHeight="1">
      <c r="A31" s="18"/>
      <c r="B31" s="18"/>
      <c r="C31" s="19"/>
      <c r="D31" s="20"/>
      <c r="E31" s="20"/>
      <c r="F31" s="20"/>
      <c r="G31" s="19"/>
      <c r="H31" s="19"/>
      <c r="I31" s="19"/>
      <c r="J31" s="19"/>
      <c r="K31" s="19"/>
      <c r="L31" s="19"/>
      <c r="M31" s="19"/>
      <c r="N31" s="19"/>
      <c r="O31" s="19"/>
      <c r="P31" s="19"/>
      <c r="Q31" s="19"/>
      <c r="R31" s="21"/>
      <c r="S31" s="19"/>
      <c r="T31" s="19"/>
      <c r="U31" s="19"/>
      <c r="V31" s="19"/>
      <c r="W31" s="19"/>
      <c r="X31" s="22"/>
      <c r="Y31" s="23"/>
      <c r="Z31" s="23"/>
      <c r="AA31" s="23"/>
      <c r="AB31" s="23"/>
      <c r="AC31" s="23"/>
      <c r="AD31" s="23"/>
      <c r="AE31" s="23"/>
      <c r="AF31" s="23"/>
      <c r="AG31" s="23"/>
      <c r="AH31" s="23"/>
      <c r="AI31" s="23"/>
      <c r="AJ31" s="23"/>
      <c r="AK31" s="23"/>
    </row>
    <row r="32" ht="14.25" customHeight="1">
      <c r="B32" s="42">
        <v>6.0</v>
      </c>
      <c r="C32" s="30" t="s">
        <v>148</v>
      </c>
      <c r="D32" s="38" t="s">
        <v>149</v>
      </c>
      <c r="E32" s="38" t="s">
        <v>149</v>
      </c>
      <c r="F32" s="38" t="s">
        <v>150</v>
      </c>
      <c r="G32" s="39" t="s">
        <v>151</v>
      </c>
      <c r="H32" s="30" t="s">
        <v>152</v>
      </c>
      <c r="I32" s="30" t="s">
        <v>153</v>
      </c>
      <c r="J32" s="13">
        <v>22.2717162864053</v>
      </c>
      <c r="K32" s="30" t="s">
        <v>154</v>
      </c>
      <c r="L32" s="30" t="s">
        <v>155</v>
      </c>
      <c r="M32" s="30" t="s">
        <v>156</v>
      </c>
      <c r="N32" s="30" t="s">
        <v>90</v>
      </c>
      <c r="O32" s="62" t="s">
        <v>29</v>
      </c>
      <c r="P32" s="62" t="s">
        <v>157</v>
      </c>
      <c r="Q32" s="63"/>
      <c r="R32" s="64"/>
      <c r="S32" s="63"/>
      <c r="T32" s="63" t="s">
        <v>158</v>
      </c>
      <c r="U32" s="32"/>
      <c r="V32" s="32"/>
      <c r="W32" s="32"/>
    </row>
    <row r="33" ht="14.25" customHeight="1">
      <c r="C33" s="32"/>
      <c r="D33" s="38" t="s">
        <v>149</v>
      </c>
      <c r="E33" s="38" t="s">
        <v>149</v>
      </c>
      <c r="F33" s="38" t="s">
        <v>150</v>
      </c>
      <c r="G33" s="39" t="s">
        <v>159</v>
      </c>
      <c r="H33" s="30" t="s">
        <v>160</v>
      </c>
      <c r="I33" s="30" t="s">
        <v>161</v>
      </c>
      <c r="J33" s="13">
        <v>18.9679210382348</v>
      </c>
      <c r="K33" s="30" t="s">
        <v>154</v>
      </c>
      <c r="L33" s="30" t="s">
        <v>155</v>
      </c>
      <c r="M33" s="30" t="s">
        <v>45</v>
      </c>
      <c r="N33" s="30" t="s">
        <v>45</v>
      </c>
      <c r="O33" s="62" t="s">
        <v>29</v>
      </c>
      <c r="P33" s="62" t="s">
        <v>157</v>
      </c>
      <c r="Q33" s="63"/>
      <c r="R33" s="64"/>
      <c r="S33" s="63"/>
      <c r="T33" s="63" t="s">
        <v>158</v>
      </c>
      <c r="U33" s="32"/>
      <c r="V33" s="32"/>
      <c r="W33" s="32"/>
    </row>
    <row r="34" ht="14.25" customHeight="1">
      <c r="A34" s="18"/>
      <c r="B34" s="18"/>
      <c r="C34" s="19"/>
      <c r="D34" s="20"/>
      <c r="E34" s="20"/>
      <c r="F34" s="20"/>
      <c r="G34" s="19"/>
      <c r="H34" s="19"/>
      <c r="I34" s="19"/>
      <c r="J34" s="19"/>
      <c r="K34" s="19"/>
      <c r="L34" s="19"/>
      <c r="M34" s="19"/>
      <c r="N34" s="19"/>
      <c r="O34" s="19"/>
      <c r="P34" s="19"/>
      <c r="Q34" s="19"/>
      <c r="R34" s="21"/>
      <c r="S34" s="19"/>
      <c r="T34" s="19"/>
      <c r="U34" s="19"/>
      <c r="V34" s="19"/>
      <c r="W34" s="19"/>
      <c r="X34" s="22"/>
      <c r="Y34" s="23"/>
      <c r="Z34" s="23"/>
      <c r="AA34" s="23"/>
      <c r="AB34" s="23"/>
      <c r="AC34" s="23"/>
      <c r="AD34" s="23"/>
      <c r="AE34" s="23"/>
      <c r="AF34" s="23"/>
      <c r="AG34" s="23"/>
      <c r="AH34" s="23"/>
      <c r="AI34" s="23"/>
      <c r="AJ34" s="23"/>
      <c r="AK34" s="23"/>
    </row>
    <row r="35" ht="14.25" customHeight="1">
      <c r="B35" s="42">
        <v>7.0</v>
      </c>
      <c r="C35" s="30" t="s">
        <v>162</v>
      </c>
      <c r="D35" s="38" t="s">
        <v>163</v>
      </c>
      <c r="E35" s="38" t="s">
        <v>163</v>
      </c>
      <c r="F35" s="65" t="s">
        <v>164</v>
      </c>
      <c r="G35" s="39" t="s">
        <v>165</v>
      </c>
      <c r="H35" s="30" t="s">
        <v>166</v>
      </c>
      <c r="I35" s="30" t="s">
        <v>167</v>
      </c>
      <c r="J35" s="13">
        <v>18.7413001700749</v>
      </c>
      <c r="K35" s="30">
        <v>3000.0</v>
      </c>
      <c r="L35" s="30" t="s">
        <v>45</v>
      </c>
      <c r="M35" s="30" t="s">
        <v>45</v>
      </c>
      <c r="N35" s="30" t="s">
        <v>45</v>
      </c>
      <c r="O35" s="43" t="s">
        <v>29</v>
      </c>
      <c r="P35" s="43" t="s">
        <v>30</v>
      </c>
      <c r="Q35" s="43" t="s">
        <v>168</v>
      </c>
      <c r="R35" s="45"/>
      <c r="S35" s="43" t="s">
        <v>62</v>
      </c>
      <c r="T35" s="32"/>
      <c r="U35" s="32"/>
      <c r="V35" s="32"/>
      <c r="W35" s="32"/>
    </row>
    <row r="36" ht="14.25" customHeight="1">
      <c r="A36" s="18"/>
      <c r="B36" s="18"/>
      <c r="C36" s="19"/>
      <c r="D36" s="20"/>
      <c r="E36" s="20"/>
      <c r="F36" s="20"/>
      <c r="G36" s="19"/>
      <c r="H36" s="19"/>
      <c r="I36" s="19"/>
      <c r="J36" s="19"/>
      <c r="K36" s="19"/>
      <c r="L36" s="19"/>
      <c r="M36" s="19"/>
      <c r="N36" s="19"/>
      <c r="O36" s="19"/>
      <c r="P36" s="19"/>
      <c r="Q36" s="19"/>
      <c r="R36" s="21"/>
      <c r="S36" s="19"/>
      <c r="T36" s="19"/>
      <c r="U36" s="19"/>
      <c r="V36" s="19"/>
      <c r="W36" s="19"/>
      <c r="X36" s="22"/>
      <c r="Y36" s="23"/>
      <c r="Z36" s="23"/>
      <c r="AA36" s="23"/>
      <c r="AB36" s="23"/>
      <c r="AC36" s="23"/>
      <c r="AD36" s="23"/>
      <c r="AE36" s="23"/>
      <c r="AF36" s="23"/>
      <c r="AG36" s="23"/>
      <c r="AH36" s="23"/>
      <c r="AI36" s="23"/>
      <c r="AJ36" s="23"/>
      <c r="AK36" s="23"/>
    </row>
    <row r="37" ht="14.25" customHeight="1">
      <c r="A37" s="17"/>
      <c r="B37" s="10">
        <v>8.0</v>
      </c>
      <c r="C37" s="11" t="s">
        <v>169</v>
      </c>
      <c r="D37" s="38" t="s">
        <v>170</v>
      </c>
      <c r="E37" s="38" t="s">
        <v>170</v>
      </c>
      <c r="F37" s="38" t="s">
        <v>130</v>
      </c>
      <c r="G37" s="39" t="s">
        <v>171</v>
      </c>
      <c r="H37" s="11" t="s">
        <v>172</v>
      </c>
      <c r="I37" s="11" t="s">
        <v>173</v>
      </c>
      <c r="J37" s="13">
        <v>21.2129357408818</v>
      </c>
      <c r="K37" s="11">
        <v>3000.0</v>
      </c>
      <c r="L37" s="11" t="s">
        <v>62</v>
      </c>
      <c r="M37" s="11" t="s">
        <v>62</v>
      </c>
      <c r="N37" s="11" t="s">
        <v>40</v>
      </c>
      <c r="O37" s="34" t="s">
        <v>29</v>
      </c>
      <c r="P37" s="34" t="s">
        <v>174</v>
      </c>
      <c r="Q37" s="14" t="s">
        <v>175</v>
      </c>
      <c r="R37" s="15"/>
      <c r="S37" s="14" t="s">
        <v>176</v>
      </c>
      <c r="T37" s="16"/>
      <c r="U37" s="16"/>
      <c r="V37" s="16"/>
      <c r="W37" s="16"/>
      <c r="X37" s="17"/>
      <c r="Y37" s="17"/>
      <c r="Z37" s="17"/>
      <c r="AA37" s="17"/>
      <c r="AB37" s="17"/>
      <c r="AC37" s="17"/>
      <c r="AD37" s="17"/>
      <c r="AE37" s="17"/>
      <c r="AF37" s="17"/>
      <c r="AG37" s="17"/>
      <c r="AH37" s="17"/>
      <c r="AI37" s="17"/>
      <c r="AJ37" s="17"/>
      <c r="AK37" s="17"/>
    </row>
    <row r="38" ht="14.25" customHeight="1">
      <c r="A38" s="18"/>
      <c r="B38" s="18"/>
      <c r="C38" s="19"/>
      <c r="D38" s="20"/>
      <c r="E38" s="20"/>
      <c r="F38" s="20"/>
      <c r="G38" s="19"/>
      <c r="H38" s="19"/>
      <c r="I38" s="19"/>
      <c r="J38" s="19"/>
      <c r="K38" s="19"/>
      <c r="L38" s="19"/>
      <c r="M38" s="19"/>
      <c r="N38" s="19"/>
      <c r="O38" s="19"/>
      <c r="P38" s="19"/>
      <c r="Q38" s="19"/>
      <c r="R38" s="21"/>
      <c r="S38" s="19"/>
      <c r="T38" s="19"/>
      <c r="U38" s="19"/>
      <c r="V38" s="19"/>
      <c r="W38" s="19"/>
      <c r="X38" s="22"/>
      <c r="Y38" s="23"/>
      <c r="Z38" s="23"/>
      <c r="AA38" s="23"/>
      <c r="AB38" s="23"/>
      <c r="AC38" s="23"/>
      <c r="AD38" s="23"/>
      <c r="AE38" s="23"/>
      <c r="AF38" s="23"/>
      <c r="AG38" s="23"/>
      <c r="AH38" s="23"/>
      <c r="AI38" s="23"/>
      <c r="AJ38" s="23"/>
      <c r="AK38" s="23"/>
    </row>
    <row r="39" ht="14.25" customHeight="1">
      <c r="B39" s="42">
        <v>9.0</v>
      </c>
      <c r="C39" s="30" t="s">
        <v>177</v>
      </c>
      <c r="D39" s="33" t="s">
        <v>164</v>
      </c>
      <c r="E39" s="33" t="s">
        <v>164</v>
      </c>
      <c r="F39" s="33" t="s">
        <v>178</v>
      </c>
      <c r="G39" s="30" t="s">
        <v>179</v>
      </c>
      <c r="H39" s="30" t="s">
        <v>180</v>
      </c>
      <c r="I39" s="30" t="s">
        <v>181</v>
      </c>
      <c r="J39" s="13">
        <v>16.1554870069381</v>
      </c>
      <c r="K39" s="30">
        <v>2000.0</v>
      </c>
      <c r="L39" s="30" t="s">
        <v>39</v>
      </c>
      <c r="M39" s="30" t="s">
        <v>62</v>
      </c>
      <c r="N39" s="30" t="s">
        <v>182</v>
      </c>
      <c r="O39" s="43" t="s">
        <v>29</v>
      </c>
      <c r="P39" s="43" t="s">
        <v>41</v>
      </c>
      <c r="Q39" s="32"/>
      <c r="R39" s="66"/>
      <c r="S39" s="32"/>
      <c r="T39" s="32"/>
      <c r="U39" s="32"/>
      <c r="V39" s="32"/>
      <c r="W39" s="32"/>
    </row>
    <row r="40" ht="14.25" customHeight="1">
      <c r="C40" s="32"/>
      <c r="D40" s="33" t="s">
        <v>164</v>
      </c>
      <c r="E40" s="33" t="s">
        <v>164</v>
      </c>
      <c r="F40" s="33" t="s">
        <v>178</v>
      </c>
      <c r="G40" s="30" t="s">
        <v>183</v>
      </c>
      <c r="H40" s="30" t="s">
        <v>184</v>
      </c>
      <c r="I40" s="30" t="s">
        <v>185</v>
      </c>
      <c r="J40" s="13">
        <v>12.1058786052506</v>
      </c>
      <c r="K40" s="30">
        <v>2500.0</v>
      </c>
      <c r="L40" s="43" t="s">
        <v>186</v>
      </c>
      <c r="M40" s="67">
        <v>-999.0</v>
      </c>
      <c r="N40" s="30" t="s">
        <v>187</v>
      </c>
      <c r="O40" s="43" t="s">
        <v>29</v>
      </c>
      <c r="Q40" s="30"/>
      <c r="R40" s="41"/>
      <c r="S40" s="30"/>
      <c r="T40" s="30" t="s">
        <v>188</v>
      </c>
      <c r="U40" s="32"/>
      <c r="V40" s="32"/>
      <c r="W40" s="32"/>
    </row>
    <row r="41" ht="14.25" customHeight="1">
      <c r="A41" s="18"/>
      <c r="B41" s="18"/>
      <c r="C41" s="19"/>
      <c r="D41" s="20"/>
      <c r="E41" s="20"/>
      <c r="F41" s="20"/>
      <c r="G41" s="19"/>
      <c r="H41" s="19"/>
      <c r="I41" s="19"/>
      <c r="J41" s="19"/>
      <c r="K41" s="19"/>
      <c r="L41" s="19"/>
      <c r="M41" s="19"/>
      <c r="N41" s="19"/>
      <c r="O41" s="19"/>
      <c r="P41" s="19"/>
      <c r="Q41" s="19"/>
      <c r="R41" s="21"/>
      <c r="S41" s="19"/>
      <c r="T41" s="19"/>
      <c r="U41" s="19"/>
      <c r="V41" s="19"/>
      <c r="W41" s="19"/>
      <c r="X41" s="22"/>
      <c r="Y41" s="23"/>
      <c r="Z41" s="23"/>
      <c r="AA41" s="23"/>
      <c r="AB41" s="23"/>
      <c r="AC41" s="23"/>
      <c r="AD41" s="23"/>
      <c r="AE41" s="23"/>
      <c r="AF41" s="23"/>
      <c r="AG41" s="23"/>
      <c r="AH41" s="23"/>
      <c r="AI41" s="23"/>
      <c r="AJ41" s="23"/>
      <c r="AK41" s="23"/>
    </row>
    <row r="42" ht="14.25" customHeight="1">
      <c r="B42" s="42">
        <v>10.0</v>
      </c>
      <c r="C42" s="30" t="s">
        <v>189</v>
      </c>
      <c r="D42" s="33" t="s">
        <v>190</v>
      </c>
      <c r="E42" s="33" t="s">
        <v>190</v>
      </c>
      <c r="F42" s="33" t="s">
        <v>191</v>
      </c>
      <c r="G42" s="30" t="s">
        <v>192</v>
      </c>
      <c r="H42" s="30" t="s">
        <v>193</v>
      </c>
      <c r="I42" s="30" t="s">
        <v>194</v>
      </c>
      <c r="J42" s="31">
        <v>23.0921680324694</v>
      </c>
      <c r="K42" s="30" t="s">
        <v>195</v>
      </c>
      <c r="L42" s="30" t="s">
        <v>27</v>
      </c>
      <c r="M42" s="30" t="s">
        <v>45</v>
      </c>
      <c r="N42" s="30" t="s">
        <v>28</v>
      </c>
      <c r="O42" s="43" t="s">
        <v>59</v>
      </c>
      <c r="P42" s="43" t="s">
        <v>30</v>
      </c>
      <c r="Q42" s="43" t="s">
        <v>107</v>
      </c>
      <c r="R42" s="43" t="s">
        <v>107</v>
      </c>
      <c r="S42" s="43" t="s">
        <v>140</v>
      </c>
      <c r="T42" s="32"/>
      <c r="U42" s="32"/>
      <c r="V42" s="32"/>
      <c r="W42" s="32"/>
    </row>
    <row r="43" ht="14.25" customHeight="1">
      <c r="C43" s="32"/>
      <c r="D43" s="33" t="s">
        <v>190</v>
      </c>
      <c r="E43" s="33" t="s">
        <v>190</v>
      </c>
      <c r="F43" s="33" t="s">
        <v>191</v>
      </c>
      <c r="G43" s="30" t="s">
        <v>196</v>
      </c>
      <c r="H43" s="30" t="s">
        <v>197</v>
      </c>
      <c r="I43" s="30" t="s">
        <v>198</v>
      </c>
      <c r="J43" s="31">
        <v>7.83994884359374</v>
      </c>
      <c r="K43" s="30" t="s">
        <v>199</v>
      </c>
      <c r="L43" s="32"/>
      <c r="M43" s="32"/>
      <c r="N43" s="30" t="s">
        <v>45</v>
      </c>
      <c r="O43" s="68" t="s">
        <v>29</v>
      </c>
      <c r="P43" s="68" t="s">
        <v>200</v>
      </c>
      <c r="Q43" s="30"/>
      <c r="R43" s="30"/>
      <c r="S43" s="30"/>
      <c r="T43" s="30" t="s">
        <v>201</v>
      </c>
      <c r="U43" s="32"/>
      <c r="V43" s="32"/>
      <c r="W43" s="32"/>
    </row>
    <row r="44" ht="14.25" customHeight="1">
      <c r="C44" s="69"/>
      <c r="D44" s="70"/>
      <c r="E44" s="70"/>
      <c r="F44" s="70"/>
      <c r="G44" s="69"/>
      <c r="H44" s="69"/>
      <c r="I44" s="69"/>
      <c r="J44" s="69"/>
      <c r="K44" s="69"/>
      <c r="L44" s="69"/>
      <c r="M44" s="69"/>
      <c r="N44" s="69"/>
      <c r="O44" s="69"/>
      <c r="P44" s="69"/>
      <c r="Q44" s="69"/>
      <c r="R44" s="69"/>
      <c r="S44" s="69"/>
      <c r="T44" s="69"/>
      <c r="U44" s="69"/>
      <c r="V44" s="69"/>
      <c r="W44" s="69"/>
      <c r="X44" s="71"/>
      <c r="Y44" s="71"/>
      <c r="Z44" s="71"/>
      <c r="AA44" s="71"/>
      <c r="AB44" s="71"/>
      <c r="AC44" s="71"/>
      <c r="AD44" s="71"/>
      <c r="AE44" s="71"/>
      <c r="AF44" s="71"/>
      <c r="AG44" s="71"/>
      <c r="AH44" s="71"/>
      <c r="AI44" s="71"/>
      <c r="AJ44" s="71"/>
      <c r="AK44" s="71"/>
    </row>
    <row r="45" ht="14.25" customHeight="1">
      <c r="B45" s="42">
        <v>11.0</v>
      </c>
      <c r="C45" s="30" t="s">
        <v>202</v>
      </c>
      <c r="D45" s="33" t="s">
        <v>203</v>
      </c>
      <c r="E45" s="33" t="s">
        <v>203</v>
      </c>
      <c r="F45" s="33" t="s">
        <v>204</v>
      </c>
      <c r="G45" s="30" t="s">
        <v>205</v>
      </c>
      <c r="H45" s="30" t="s">
        <v>206</v>
      </c>
      <c r="I45" s="30" t="s">
        <v>207</v>
      </c>
      <c r="J45" s="13">
        <v>20.6007386070054</v>
      </c>
      <c r="K45" s="30" t="s">
        <v>208</v>
      </c>
      <c r="L45" s="30" t="s">
        <v>104</v>
      </c>
      <c r="M45" s="30" t="s">
        <v>27</v>
      </c>
      <c r="N45" s="30" t="s">
        <v>45</v>
      </c>
      <c r="O45" s="43" t="s">
        <v>59</v>
      </c>
      <c r="P45" s="43" t="s">
        <v>30</v>
      </c>
      <c r="Q45" s="43" t="s">
        <v>107</v>
      </c>
      <c r="R45" s="43" t="s">
        <v>107</v>
      </c>
      <c r="S45" s="43" t="s">
        <v>140</v>
      </c>
      <c r="T45" s="32"/>
      <c r="U45" s="32"/>
      <c r="V45" s="32"/>
      <c r="W45" s="32"/>
    </row>
    <row r="46" ht="14.25" customHeight="1">
      <c r="C46" s="72"/>
      <c r="D46" s="73"/>
      <c r="E46" s="73"/>
      <c r="F46" s="73"/>
      <c r="G46" s="72"/>
      <c r="H46" s="72"/>
      <c r="I46" s="72"/>
      <c r="J46" s="72"/>
      <c r="K46" s="72"/>
      <c r="L46" s="72"/>
      <c r="M46" s="72"/>
      <c r="N46" s="72"/>
      <c r="O46" s="72"/>
      <c r="P46" s="72"/>
      <c r="Q46" s="72"/>
      <c r="R46" s="72"/>
      <c r="S46" s="72"/>
      <c r="T46" s="72"/>
      <c r="U46" s="72"/>
      <c r="V46" s="72"/>
      <c r="W46" s="72"/>
      <c r="X46" s="74"/>
      <c r="Y46" s="74"/>
      <c r="Z46" s="74"/>
      <c r="AA46" s="74"/>
      <c r="AB46" s="74"/>
      <c r="AC46" s="74"/>
      <c r="AD46" s="74"/>
      <c r="AE46" s="74"/>
      <c r="AF46" s="74"/>
      <c r="AG46" s="74"/>
      <c r="AH46" s="74"/>
      <c r="AI46" s="74"/>
      <c r="AJ46" s="74"/>
      <c r="AK46" s="74"/>
    </row>
    <row r="47" ht="14.25" customHeight="1">
      <c r="B47" s="42">
        <v>12.0</v>
      </c>
      <c r="C47" s="30" t="s">
        <v>209</v>
      </c>
      <c r="D47" s="75" t="s">
        <v>210</v>
      </c>
      <c r="E47" s="75" t="s">
        <v>210</v>
      </c>
      <c r="F47" s="33" t="s">
        <v>211</v>
      </c>
      <c r="G47" s="30" t="s">
        <v>212</v>
      </c>
      <c r="H47" s="30" t="s">
        <v>213</v>
      </c>
      <c r="I47" s="30" t="s">
        <v>214</v>
      </c>
      <c r="J47" s="13">
        <v>25.9260486334803</v>
      </c>
      <c r="K47" s="30" t="s">
        <v>215</v>
      </c>
      <c r="L47" s="30" t="s">
        <v>104</v>
      </c>
      <c r="M47" s="30" t="s">
        <v>27</v>
      </c>
      <c r="N47" s="30" t="s">
        <v>28</v>
      </c>
      <c r="O47" s="43" t="s">
        <v>59</v>
      </c>
      <c r="P47" s="43" t="s">
        <v>216</v>
      </c>
      <c r="Q47" s="43" t="s">
        <v>47</v>
      </c>
      <c r="R47" s="43" t="s">
        <v>47</v>
      </c>
      <c r="S47" s="43" t="s">
        <v>48</v>
      </c>
      <c r="T47" s="32"/>
      <c r="U47" s="32"/>
      <c r="V47" s="32"/>
      <c r="W47" s="32"/>
    </row>
    <row r="48" ht="14.25" customHeight="1">
      <c r="C48" s="72"/>
      <c r="D48" s="73"/>
      <c r="E48" s="73"/>
      <c r="F48" s="73"/>
      <c r="G48" s="72"/>
      <c r="H48" s="72"/>
      <c r="I48" s="72"/>
      <c r="J48" s="72"/>
      <c r="K48" s="72"/>
      <c r="L48" s="72"/>
      <c r="M48" s="72"/>
      <c r="N48" s="72"/>
      <c r="O48" s="72"/>
      <c r="P48" s="72"/>
      <c r="Q48" s="72"/>
      <c r="R48" s="76"/>
      <c r="S48" s="72"/>
      <c r="T48" s="72"/>
      <c r="U48" s="72"/>
      <c r="V48" s="72"/>
      <c r="W48" s="72"/>
      <c r="X48" s="74"/>
      <c r="Y48" s="74"/>
      <c r="Z48" s="74"/>
      <c r="AA48" s="74"/>
      <c r="AB48" s="74"/>
      <c r="AC48" s="74"/>
      <c r="AD48" s="74"/>
      <c r="AE48" s="74"/>
      <c r="AF48" s="74"/>
      <c r="AG48" s="74"/>
      <c r="AH48" s="74"/>
      <c r="AI48" s="74"/>
      <c r="AJ48" s="74"/>
      <c r="AK48" s="74"/>
    </row>
    <row r="49" ht="14.25" customHeight="1">
      <c r="B49" s="42">
        <v>13.0</v>
      </c>
      <c r="C49" s="30" t="s">
        <v>217</v>
      </c>
      <c r="D49" s="33" t="s">
        <v>218</v>
      </c>
      <c r="E49" s="33" t="s">
        <v>218</v>
      </c>
      <c r="F49" s="33" t="s">
        <v>219</v>
      </c>
      <c r="G49" s="30" t="s">
        <v>217</v>
      </c>
      <c r="H49" s="30" t="s">
        <v>220</v>
      </c>
      <c r="I49" s="30" t="s">
        <v>221</v>
      </c>
      <c r="J49" s="13">
        <v>15.6884585584492</v>
      </c>
      <c r="K49" s="30" t="s">
        <v>222</v>
      </c>
      <c r="L49" s="30" t="s">
        <v>90</v>
      </c>
      <c r="M49" s="30" t="s">
        <v>45</v>
      </c>
      <c r="N49" s="30" t="s">
        <v>45</v>
      </c>
      <c r="O49" s="43" t="s">
        <v>59</v>
      </c>
      <c r="P49" s="44" t="s">
        <v>30</v>
      </c>
      <c r="Q49" s="43" t="s">
        <v>121</v>
      </c>
      <c r="R49" s="45" t="s">
        <v>122</v>
      </c>
      <c r="S49" s="43" t="s">
        <v>140</v>
      </c>
      <c r="T49" s="32"/>
      <c r="U49" s="32"/>
      <c r="V49" s="32"/>
      <c r="W49" s="32"/>
    </row>
    <row r="50" ht="14.25" customHeight="1">
      <c r="C50" s="77"/>
      <c r="D50" s="78"/>
      <c r="E50" s="78"/>
      <c r="F50" s="78"/>
      <c r="G50" s="77"/>
      <c r="H50" s="77"/>
      <c r="I50" s="77"/>
      <c r="J50" s="77"/>
      <c r="K50" s="77"/>
      <c r="L50" s="77"/>
      <c r="M50" s="77"/>
      <c r="N50" s="77"/>
      <c r="O50" s="77"/>
      <c r="P50" s="77"/>
      <c r="Q50" s="77"/>
      <c r="R50" s="79"/>
      <c r="S50" s="77"/>
      <c r="T50" s="77"/>
      <c r="U50" s="77"/>
      <c r="V50" s="77"/>
      <c r="W50" s="77"/>
      <c r="X50" s="80"/>
      <c r="Y50" s="80"/>
      <c r="Z50" s="80"/>
      <c r="AA50" s="80"/>
      <c r="AB50" s="80"/>
      <c r="AC50" s="80"/>
      <c r="AD50" s="80"/>
      <c r="AE50" s="80"/>
      <c r="AF50" s="80"/>
      <c r="AG50" s="80"/>
      <c r="AH50" s="80"/>
      <c r="AI50" s="80"/>
      <c r="AJ50" s="80"/>
      <c r="AK50" s="80"/>
    </row>
    <row r="51" ht="14.25" customHeight="1">
      <c r="B51" s="42">
        <v>14.0</v>
      </c>
      <c r="C51" s="30" t="s">
        <v>223</v>
      </c>
      <c r="D51" s="33" t="s">
        <v>224</v>
      </c>
      <c r="E51" s="33" t="s">
        <v>224</v>
      </c>
      <c r="F51" s="33"/>
      <c r="G51" s="30" t="s">
        <v>225</v>
      </c>
      <c r="H51" s="30" t="s">
        <v>226</v>
      </c>
      <c r="I51" s="30"/>
      <c r="J51" s="30"/>
      <c r="K51" s="30">
        <v>1500.0</v>
      </c>
      <c r="L51" s="30" t="s">
        <v>104</v>
      </c>
      <c r="M51" s="30" t="s">
        <v>104</v>
      </c>
      <c r="N51" s="30" t="s">
        <v>62</v>
      </c>
      <c r="O51" s="43" t="s">
        <v>29</v>
      </c>
      <c r="P51" s="43" t="s">
        <v>227</v>
      </c>
      <c r="Q51" s="32"/>
      <c r="R51" s="66"/>
      <c r="S51" s="32"/>
      <c r="T51" s="32"/>
      <c r="U51" s="32"/>
      <c r="V51" s="32"/>
      <c r="W51" s="32"/>
    </row>
    <row r="52" ht="14.25" customHeight="1">
      <c r="C52" s="32"/>
      <c r="D52" s="33" t="s">
        <v>224</v>
      </c>
      <c r="E52" s="33" t="s">
        <v>224</v>
      </c>
      <c r="F52" s="33"/>
      <c r="G52" s="30" t="s">
        <v>228</v>
      </c>
      <c r="H52" s="30" t="s">
        <v>229</v>
      </c>
      <c r="I52" s="30"/>
      <c r="J52" s="30"/>
      <c r="K52" s="30"/>
      <c r="L52" s="30"/>
      <c r="M52" s="30"/>
      <c r="N52" s="30"/>
      <c r="O52" s="43" t="s">
        <v>29</v>
      </c>
      <c r="P52" s="43" t="s">
        <v>227</v>
      </c>
      <c r="Q52" s="30"/>
      <c r="R52" s="41"/>
      <c r="S52" s="30"/>
      <c r="T52" s="30"/>
      <c r="U52" s="32"/>
      <c r="V52" s="32"/>
      <c r="W52" s="32"/>
    </row>
    <row r="53" ht="14.25" customHeight="1">
      <c r="C53" s="77"/>
      <c r="D53" s="81"/>
      <c r="E53" s="81"/>
      <c r="F53" s="81"/>
      <c r="G53" s="82"/>
      <c r="H53" s="82"/>
      <c r="I53" s="82"/>
      <c r="J53" s="82"/>
      <c r="K53" s="82">
        <v>1500.0</v>
      </c>
      <c r="L53" s="82">
        <v>-999.0</v>
      </c>
      <c r="M53" s="82">
        <v>-999.0</v>
      </c>
      <c r="N53" s="82" t="s">
        <v>45</v>
      </c>
      <c r="O53" s="82"/>
      <c r="P53" s="82"/>
      <c r="Q53" s="82"/>
      <c r="R53" s="83"/>
      <c r="S53" s="82"/>
      <c r="T53" s="82" t="s">
        <v>230</v>
      </c>
      <c r="U53" s="77"/>
      <c r="V53" s="77"/>
      <c r="W53" s="77"/>
      <c r="X53" s="80"/>
      <c r="Y53" s="80"/>
      <c r="Z53" s="80"/>
      <c r="AA53" s="80"/>
      <c r="AB53" s="80"/>
      <c r="AC53" s="80"/>
      <c r="AD53" s="80"/>
      <c r="AE53" s="80"/>
      <c r="AF53" s="80"/>
      <c r="AG53" s="80"/>
      <c r="AH53" s="80"/>
      <c r="AI53" s="80"/>
      <c r="AJ53" s="80"/>
      <c r="AK53" s="80"/>
    </row>
    <row r="54" ht="14.25" customHeight="1">
      <c r="B54" s="42">
        <v>15.0</v>
      </c>
      <c r="C54" s="84" t="s">
        <v>231</v>
      </c>
      <c r="D54" s="85" t="s">
        <v>232</v>
      </c>
      <c r="E54" s="85" t="s">
        <v>232</v>
      </c>
      <c r="F54" s="85" t="s">
        <v>233</v>
      </c>
      <c r="G54" s="84" t="s">
        <v>231</v>
      </c>
      <c r="H54" s="84" t="s">
        <v>234</v>
      </c>
      <c r="I54" s="84" t="s">
        <v>235</v>
      </c>
      <c r="J54" s="13">
        <v>35.1597599123597</v>
      </c>
      <c r="K54" s="86"/>
      <c r="L54" s="86"/>
      <c r="M54" s="86"/>
      <c r="N54" s="86"/>
      <c r="O54" s="87" t="s">
        <v>29</v>
      </c>
      <c r="P54" s="84"/>
      <c r="Q54" s="84"/>
      <c r="R54" s="88"/>
      <c r="S54" s="84"/>
      <c r="T54" s="84" t="s">
        <v>236</v>
      </c>
      <c r="U54" s="86"/>
      <c r="V54" s="86"/>
      <c r="W54" s="86"/>
      <c r="X54" s="89"/>
    </row>
    <row r="55" ht="14.25" customHeight="1">
      <c r="C55" s="32"/>
      <c r="D55" s="90"/>
      <c r="E55" s="90"/>
      <c r="F55" s="90"/>
      <c r="G55" s="32"/>
      <c r="H55" s="32"/>
      <c r="I55" s="32"/>
      <c r="J55" s="32"/>
      <c r="K55" s="32"/>
      <c r="L55" s="32"/>
      <c r="M55" s="32"/>
      <c r="N55" s="32"/>
      <c r="O55" s="32"/>
      <c r="P55" s="32"/>
      <c r="Q55" s="32"/>
      <c r="R55" s="66"/>
      <c r="S55" s="32"/>
      <c r="T55" s="32"/>
      <c r="U55" s="32"/>
      <c r="V55" s="32"/>
      <c r="W55" s="32"/>
    </row>
    <row r="56" ht="14.25" customHeight="1">
      <c r="A56" s="91"/>
      <c r="B56" s="91"/>
      <c r="C56" s="92"/>
      <c r="D56" s="93"/>
      <c r="E56" s="93"/>
      <c r="F56" s="93"/>
      <c r="G56" s="92"/>
      <c r="H56" s="92"/>
      <c r="I56" s="92"/>
      <c r="J56" s="92"/>
      <c r="K56" s="92"/>
      <c r="L56" s="92"/>
      <c r="M56" s="92"/>
      <c r="N56" s="92"/>
      <c r="O56" s="92"/>
      <c r="P56" s="92"/>
      <c r="Q56" s="92"/>
      <c r="R56" s="94"/>
      <c r="S56" s="92"/>
      <c r="T56" s="92"/>
      <c r="U56" s="92"/>
      <c r="V56" s="92"/>
      <c r="W56" s="92"/>
      <c r="X56" s="91"/>
      <c r="Y56" s="91"/>
      <c r="Z56" s="91"/>
      <c r="AA56" s="91"/>
      <c r="AB56" s="91"/>
      <c r="AC56" s="91"/>
      <c r="AD56" s="91"/>
      <c r="AE56" s="91"/>
      <c r="AF56" s="91"/>
      <c r="AG56" s="91"/>
      <c r="AH56" s="91"/>
      <c r="AI56" s="91"/>
      <c r="AJ56" s="91"/>
      <c r="AK56" s="91"/>
    </row>
    <row r="57" ht="14.25" customHeight="1">
      <c r="A57" s="52" t="s">
        <v>237</v>
      </c>
      <c r="B57" s="42">
        <v>1.0</v>
      </c>
      <c r="C57" s="30" t="s">
        <v>238</v>
      </c>
      <c r="D57" s="33" t="s">
        <v>239</v>
      </c>
      <c r="E57" s="33" t="s">
        <v>239</v>
      </c>
      <c r="F57" s="33" t="s">
        <v>240</v>
      </c>
      <c r="G57" s="30" t="s">
        <v>241</v>
      </c>
      <c r="H57" s="42" t="s">
        <v>242</v>
      </c>
      <c r="I57" s="30" t="s">
        <v>243</v>
      </c>
      <c r="J57" s="95">
        <v>6.81627285348645</v>
      </c>
      <c r="K57" s="30">
        <v>2000.0</v>
      </c>
      <c r="L57" s="32"/>
      <c r="M57" s="32"/>
      <c r="N57" s="32"/>
      <c r="O57" s="43" t="s">
        <v>29</v>
      </c>
      <c r="P57" s="68" t="s">
        <v>244</v>
      </c>
      <c r="Q57" s="43"/>
      <c r="R57" s="41"/>
      <c r="S57" s="30"/>
      <c r="T57" s="30" t="s">
        <v>245</v>
      </c>
      <c r="U57" s="32"/>
      <c r="V57" s="32"/>
      <c r="W57" s="32"/>
    </row>
    <row r="58" ht="14.25" customHeight="1">
      <c r="A58" s="52"/>
      <c r="B58" s="42"/>
      <c r="C58" s="30"/>
      <c r="D58" s="33" t="s">
        <v>239</v>
      </c>
      <c r="E58" s="33" t="s">
        <v>239</v>
      </c>
      <c r="F58" s="33" t="s">
        <v>240</v>
      </c>
      <c r="G58" s="30" t="s">
        <v>246</v>
      </c>
      <c r="H58" s="42" t="s">
        <v>247</v>
      </c>
      <c r="I58" s="30"/>
      <c r="J58" s="59">
        <v>6.58020107388652</v>
      </c>
      <c r="K58" s="30"/>
      <c r="L58" s="32"/>
      <c r="M58" s="32"/>
      <c r="N58" s="32"/>
      <c r="O58" s="43" t="s">
        <v>29</v>
      </c>
      <c r="P58" s="43" t="s">
        <v>248</v>
      </c>
      <c r="Q58" s="30"/>
      <c r="R58" s="41"/>
      <c r="S58" s="30"/>
      <c r="T58" s="30" t="s">
        <v>249</v>
      </c>
      <c r="U58" s="32"/>
      <c r="V58" s="32"/>
      <c r="W58" s="32"/>
    </row>
    <row r="59" ht="14.25" customHeight="1">
      <c r="A59" s="80"/>
      <c r="B59" s="80"/>
      <c r="C59" s="77"/>
      <c r="D59" s="78"/>
      <c r="E59" s="78"/>
      <c r="F59" s="78"/>
      <c r="G59" s="77"/>
      <c r="H59" s="77"/>
      <c r="I59" s="77"/>
      <c r="J59" s="77"/>
      <c r="K59" s="77"/>
      <c r="L59" s="77"/>
      <c r="M59" s="77"/>
      <c r="N59" s="77"/>
      <c r="O59" s="77"/>
      <c r="P59" s="77"/>
      <c r="Q59" s="77"/>
      <c r="R59" s="79"/>
      <c r="S59" s="77"/>
      <c r="T59" s="77"/>
      <c r="U59" s="77"/>
      <c r="V59" s="77"/>
      <c r="W59" s="77"/>
      <c r="X59" s="80"/>
      <c r="Y59" s="80"/>
      <c r="Z59" s="80"/>
      <c r="AA59" s="80"/>
      <c r="AB59" s="80"/>
      <c r="AC59" s="80"/>
      <c r="AD59" s="80"/>
      <c r="AE59" s="80"/>
      <c r="AF59" s="80"/>
      <c r="AG59" s="80"/>
      <c r="AH59" s="80"/>
      <c r="AI59" s="80"/>
      <c r="AJ59" s="80"/>
      <c r="AK59" s="80"/>
    </row>
    <row r="60" ht="14.25" customHeight="1">
      <c r="B60" s="42">
        <v>2.0</v>
      </c>
      <c r="C60" s="30" t="s">
        <v>34</v>
      </c>
      <c r="D60" s="33" t="s">
        <v>250</v>
      </c>
      <c r="E60" s="33" t="s">
        <v>250</v>
      </c>
      <c r="F60" s="33" t="s">
        <v>35</v>
      </c>
      <c r="G60" s="30" t="s">
        <v>36</v>
      </c>
      <c r="H60" s="42" t="s">
        <v>251</v>
      </c>
      <c r="I60" s="30" t="s">
        <v>252</v>
      </c>
      <c r="J60" s="13">
        <v>42.4720401141703</v>
      </c>
      <c r="K60" s="30">
        <v>5000.0</v>
      </c>
      <c r="L60" s="32"/>
      <c r="M60" s="32"/>
      <c r="N60" s="32"/>
      <c r="O60" s="43" t="s">
        <v>29</v>
      </c>
      <c r="P60" s="96" t="s">
        <v>253</v>
      </c>
      <c r="Q60" s="43" t="s">
        <v>121</v>
      </c>
      <c r="R60" s="45"/>
      <c r="S60" s="43" t="s">
        <v>140</v>
      </c>
      <c r="T60" s="32"/>
      <c r="U60" s="32"/>
      <c r="V60" s="32"/>
      <c r="W60" s="32"/>
    </row>
    <row r="61" ht="14.25" customHeight="1">
      <c r="A61" s="80"/>
      <c r="B61" s="80"/>
      <c r="C61" s="77"/>
      <c r="D61" s="78"/>
      <c r="E61" s="78"/>
      <c r="F61" s="78"/>
      <c r="G61" s="77"/>
      <c r="H61" s="77"/>
      <c r="I61" s="77"/>
      <c r="J61" s="77"/>
      <c r="K61" s="77"/>
      <c r="L61" s="77"/>
      <c r="M61" s="77"/>
      <c r="N61" s="77"/>
      <c r="O61" s="77"/>
      <c r="P61" s="77"/>
      <c r="Q61" s="77"/>
      <c r="R61" s="79"/>
      <c r="S61" s="77"/>
      <c r="T61" s="77"/>
      <c r="U61" s="77"/>
      <c r="V61" s="77"/>
      <c r="W61" s="77"/>
      <c r="X61" s="80"/>
      <c r="Y61" s="80"/>
      <c r="Z61" s="80"/>
      <c r="AA61" s="80"/>
      <c r="AB61" s="80"/>
      <c r="AC61" s="80"/>
      <c r="AD61" s="80"/>
      <c r="AE61" s="80"/>
      <c r="AF61" s="80"/>
      <c r="AG61" s="80"/>
      <c r="AH61" s="80"/>
      <c r="AI61" s="80"/>
      <c r="AJ61" s="80"/>
      <c r="AK61" s="80"/>
    </row>
    <row r="62" ht="14.25" customHeight="1">
      <c r="A62" s="97"/>
      <c r="B62" s="98">
        <v>3.0</v>
      </c>
      <c r="C62" s="99" t="s">
        <v>254</v>
      </c>
      <c r="D62" s="100" t="s">
        <v>255</v>
      </c>
      <c r="E62" s="100" t="s">
        <v>255</v>
      </c>
      <c r="F62" s="100" t="s">
        <v>256</v>
      </c>
      <c r="G62" s="99" t="s">
        <v>257</v>
      </c>
      <c r="H62" s="99" t="s">
        <v>258</v>
      </c>
      <c r="I62" s="99" t="s">
        <v>259</v>
      </c>
      <c r="J62" s="13">
        <v>12.130957118557</v>
      </c>
      <c r="K62" s="99">
        <v>3000.0</v>
      </c>
      <c r="L62" s="101"/>
      <c r="M62" s="101"/>
      <c r="N62" s="101"/>
      <c r="O62" s="102" t="s">
        <v>29</v>
      </c>
      <c r="P62" s="102"/>
      <c r="Q62" s="99"/>
      <c r="R62" s="103"/>
      <c r="S62" s="99"/>
      <c r="T62" s="99" t="s">
        <v>260</v>
      </c>
      <c r="U62" s="101"/>
      <c r="V62" s="101"/>
      <c r="W62" s="101"/>
      <c r="X62" s="97"/>
      <c r="Y62" s="97"/>
      <c r="Z62" s="97"/>
      <c r="AA62" s="97"/>
      <c r="AB62" s="97"/>
      <c r="AC62" s="97"/>
      <c r="AD62" s="97"/>
      <c r="AE62" s="97"/>
      <c r="AF62" s="97"/>
      <c r="AG62" s="97"/>
      <c r="AH62" s="97"/>
      <c r="AI62" s="97"/>
      <c r="AJ62" s="97"/>
      <c r="AK62" s="97"/>
    </row>
    <row r="63" ht="14.25" customHeight="1">
      <c r="A63" s="80"/>
      <c r="B63" s="80"/>
      <c r="C63" s="77"/>
      <c r="D63" s="78"/>
      <c r="E63" s="78"/>
      <c r="F63" s="78"/>
      <c r="G63" s="77"/>
      <c r="H63" s="77"/>
      <c r="I63" s="77"/>
      <c r="J63" s="77"/>
      <c r="K63" s="77"/>
      <c r="L63" s="77"/>
      <c r="M63" s="77"/>
      <c r="N63" s="77"/>
      <c r="O63" s="77"/>
      <c r="P63" s="77"/>
      <c r="Q63" s="77"/>
      <c r="R63" s="79"/>
      <c r="S63" s="77"/>
      <c r="T63" s="77"/>
      <c r="U63" s="77"/>
      <c r="V63" s="77"/>
      <c r="W63" s="77"/>
      <c r="X63" s="80"/>
      <c r="Y63" s="80"/>
      <c r="Z63" s="80"/>
      <c r="AA63" s="80"/>
      <c r="AB63" s="80"/>
      <c r="AC63" s="80"/>
      <c r="AD63" s="80"/>
      <c r="AE63" s="80"/>
      <c r="AF63" s="80"/>
      <c r="AG63" s="80"/>
      <c r="AH63" s="80"/>
      <c r="AI63" s="80"/>
      <c r="AJ63" s="80"/>
      <c r="AK63" s="80"/>
    </row>
    <row r="64" ht="14.25" customHeight="1">
      <c r="B64" s="42">
        <v>4.0</v>
      </c>
      <c r="C64" s="30" t="s">
        <v>261</v>
      </c>
      <c r="D64" s="33" t="s">
        <v>131</v>
      </c>
      <c r="E64" s="33" t="s">
        <v>131</v>
      </c>
      <c r="F64" s="33" t="s">
        <v>262</v>
      </c>
      <c r="G64" s="30" t="s">
        <v>263</v>
      </c>
      <c r="H64" s="58" t="s">
        <v>264</v>
      </c>
      <c r="I64" s="58" t="s">
        <v>265</v>
      </c>
      <c r="J64" s="13">
        <v>17.4063362108886</v>
      </c>
      <c r="K64" s="58" t="s">
        <v>266</v>
      </c>
      <c r="L64" s="32"/>
      <c r="M64" s="32"/>
      <c r="N64" s="32"/>
      <c r="O64" s="43" t="s">
        <v>29</v>
      </c>
      <c r="P64" s="43" t="s">
        <v>41</v>
      </c>
      <c r="Q64" s="30"/>
      <c r="R64" s="41"/>
      <c r="S64" s="30"/>
      <c r="T64" s="30" t="s">
        <v>267</v>
      </c>
      <c r="U64" s="32"/>
      <c r="V64" s="32"/>
      <c r="W64" s="32"/>
    </row>
    <row r="65" ht="14.25" customHeight="1">
      <c r="A65" s="104"/>
      <c r="B65" s="104"/>
      <c r="C65" s="105"/>
      <c r="D65" s="106"/>
      <c r="E65" s="106"/>
      <c r="F65" s="106"/>
      <c r="G65" s="105"/>
      <c r="H65" s="105"/>
      <c r="I65" s="105"/>
      <c r="J65" s="105"/>
      <c r="K65" s="105"/>
      <c r="L65" s="105"/>
      <c r="M65" s="105"/>
      <c r="N65" s="105"/>
      <c r="O65" s="105"/>
      <c r="P65" s="105"/>
      <c r="Q65" s="105"/>
      <c r="R65" s="107"/>
      <c r="S65" s="105"/>
      <c r="T65" s="105"/>
      <c r="U65" s="105"/>
      <c r="V65" s="105"/>
      <c r="W65" s="105"/>
      <c r="X65" s="104"/>
      <c r="Y65" s="104"/>
      <c r="Z65" s="104"/>
      <c r="AA65" s="104"/>
      <c r="AB65" s="104"/>
      <c r="AC65" s="104"/>
      <c r="AD65" s="104"/>
      <c r="AE65" s="104"/>
      <c r="AF65" s="104"/>
      <c r="AG65" s="104"/>
      <c r="AH65" s="104"/>
      <c r="AI65" s="104"/>
      <c r="AJ65" s="104"/>
      <c r="AK65" s="104"/>
    </row>
    <row r="66" ht="14.25" customHeight="1">
      <c r="B66" s="42">
        <v>5.0</v>
      </c>
      <c r="C66" s="30" t="s">
        <v>268</v>
      </c>
      <c r="D66" s="33" t="s">
        <v>269</v>
      </c>
      <c r="E66" s="33" t="s">
        <v>269</v>
      </c>
      <c r="F66" s="33" t="s">
        <v>270</v>
      </c>
      <c r="G66" s="30" t="s">
        <v>271</v>
      </c>
      <c r="H66" s="30" t="s">
        <v>272</v>
      </c>
      <c r="I66" s="30" t="s">
        <v>273</v>
      </c>
      <c r="J66" s="13">
        <v>3.22934807808075</v>
      </c>
      <c r="K66" s="30">
        <v>1000.0</v>
      </c>
      <c r="L66" s="32"/>
      <c r="M66" s="32"/>
      <c r="N66" s="32"/>
      <c r="O66" s="43" t="s">
        <v>59</v>
      </c>
      <c r="P66" s="43" t="s">
        <v>30</v>
      </c>
      <c r="Q66" s="43" t="s">
        <v>122</v>
      </c>
      <c r="R66" s="45" t="s">
        <v>122</v>
      </c>
      <c r="S66" s="43" t="s">
        <v>39</v>
      </c>
      <c r="T66" s="32"/>
      <c r="U66" s="32"/>
      <c r="V66" s="32"/>
      <c r="W66" s="32"/>
    </row>
    <row r="67" ht="14.25" customHeight="1">
      <c r="A67" s="74"/>
      <c r="B67" s="74"/>
      <c r="C67" s="72"/>
      <c r="D67" s="73"/>
      <c r="E67" s="73"/>
      <c r="F67" s="73"/>
      <c r="G67" s="72"/>
      <c r="H67" s="72"/>
      <c r="I67" s="72"/>
      <c r="J67" s="72"/>
      <c r="K67" s="72"/>
      <c r="L67" s="72"/>
      <c r="M67" s="72"/>
      <c r="N67" s="72"/>
      <c r="O67" s="72"/>
      <c r="P67" s="72"/>
      <c r="Q67" s="72"/>
      <c r="R67" s="76"/>
      <c r="S67" s="72"/>
      <c r="T67" s="72"/>
      <c r="U67" s="72"/>
      <c r="V67" s="72"/>
      <c r="W67" s="72"/>
      <c r="X67" s="74"/>
      <c r="Y67" s="74"/>
      <c r="Z67" s="74"/>
      <c r="AA67" s="74"/>
      <c r="AB67" s="74"/>
      <c r="AC67" s="74"/>
      <c r="AD67" s="74"/>
      <c r="AE67" s="74"/>
      <c r="AF67" s="74"/>
      <c r="AG67" s="74"/>
      <c r="AH67" s="74"/>
      <c r="AI67" s="74"/>
      <c r="AJ67" s="74"/>
      <c r="AK67" s="74"/>
    </row>
    <row r="68" ht="14.25" customHeight="1">
      <c r="B68" s="42">
        <v>6.0</v>
      </c>
      <c r="C68" s="30" t="s">
        <v>274</v>
      </c>
      <c r="D68" s="33" t="s">
        <v>143</v>
      </c>
      <c r="E68" s="33" t="s">
        <v>143</v>
      </c>
      <c r="F68" s="33" t="s">
        <v>275</v>
      </c>
      <c r="G68" s="30" t="s">
        <v>276</v>
      </c>
      <c r="H68" s="30" t="s">
        <v>277</v>
      </c>
      <c r="I68" s="30" t="s">
        <v>278</v>
      </c>
      <c r="J68" s="13">
        <v>20.4731836662927</v>
      </c>
      <c r="K68" s="30">
        <v>3000.0</v>
      </c>
      <c r="L68" s="32"/>
      <c r="M68" s="32"/>
      <c r="N68" s="32"/>
      <c r="O68" s="43" t="s">
        <v>29</v>
      </c>
      <c r="P68" s="43" t="s">
        <v>279</v>
      </c>
      <c r="Q68" s="32"/>
      <c r="R68" s="66"/>
      <c r="S68" s="32"/>
      <c r="T68" s="32"/>
      <c r="U68" s="32"/>
      <c r="V68" s="32"/>
      <c r="W68" s="32"/>
    </row>
    <row r="69" ht="14.25" customHeight="1">
      <c r="C69" s="32"/>
      <c r="D69" s="33" t="s">
        <v>143</v>
      </c>
      <c r="E69" s="33" t="s">
        <v>143</v>
      </c>
      <c r="F69" s="33" t="s">
        <v>275</v>
      </c>
      <c r="G69" s="30" t="s">
        <v>280</v>
      </c>
      <c r="H69" s="30" t="s">
        <v>281</v>
      </c>
      <c r="I69" s="30" t="s">
        <v>282</v>
      </c>
      <c r="J69" s="13">
        <v>11.2224311306929</v>
      </c>
      <c r="K69" s="30">
        <v>3000.0</v>
      </c>
      <c r="L69" s="32"/>
      <c r="M69" s="32"/>
      <c r="N69" s="32"/>
      <c r="O69" s="43" t="s">
        <v>29</v>
      </c>
      <c r="P69" s="43" t="s">
        <v>279</v>
      </c>
      <c r="Q69" s="32"/>
      <c r="R69" s="66"/>
      <c r="S69" s="32"/>
      <c r="T69" s="32"/>
      <c r="U69" s="32"/>
      <c r="V69" s="32"/>
      <c r="W69" s="32"/>
    </row>
    <row r="70" ht="14.25" customHeight="1">
      <c r="A70" s="80"/>
      <c r="B70" s="80"/>
      <c r="C70" s="77"/>
      <c r="D70" s="78"/>
      <c r="E70" s="78"/>
      <c r="F70" s="78"/>
      <c r="G70" s="77"/>
      <c r="H70" s="77"/>
      <c r="I70" s="77"/>
      <c r="J70" s="77"/>
      <c r="K70" s="77"/>
      <c r="L70" s="77"/>
      <c r="M70" s="77"/>
      <c r="N70" s="77"/>
      <c r="O70" s="77"/>
      <c r="P70" s="77"/>
      <c r="Q70" s="77"/>
      <c r="R70" s="79"/>
      <c r="S70" s="77"/>
      <c r="T70" s="77"/>
      <c r="U70" s="77"/>
      <c r="V70" s="77"/>
      <c r="W70" s="77"/>
      <c r="X70" s="80"/>
      <c r="Y70" s="80"/>
      <c r="Z70" s="80"/>
      <c r="AA70" s="80"/>
      <c r="AB70" s="80"/>
      <c r="AC70" s="80"/>
      <c r="AD70" s="80"/>
      <c r="AE70" s="80"/>
      <c r="AF70" s="80"/>
      <c r="AG70" s="80"/>
      <c r="AH70" s="80"/>
      <c r="AI70" s="80"/>
      <c r="AJ70" s="80"/>
      <c r="AK70" s="80"/>
    </row>
    <row r="71" ht="14.25" customHeight="1">
      <c r="B71" s="42">
        <v>7.0</v>
      </c>
      <c r="C71" s="30" t="s">
        <v>283</v>
      </c>
      <c r="D71" s="33" t="s">
        <v>284</v>
      </c>
      <c r="E71" s="33" t="s">
        <v>284</v>
      </c>
      <c r="F71" s="33" t="s">
        <v>285</v>
      </c>
      <c r="G71" s="30" t="s">
        <v>246</v>
      </c>
      <c r="H71" s="30" t="s">
        <v>286</v>
      </c>
      <c r="I71" s="30" t="s">
        <v>287</v>
      </c>
      <c r="J71" s="95">
        <v>6.58020107388652</v>
      </c>
      <c r="K71" s="30">
        <v>2000.0</v>
      </c>
      <c r="L71" s="32"/>
      <c r="M71" s="32"/>
      <c r="N71" s="32"/>
      <c r="O71" s="43" t="s">
        <v>29</v>
      </c>
      <c r="P71" s="43" t="s">
        <v>288</v>
      </c>
      <c r="Q71" s="30"/>
      <c r="R71" s="41"/>
      <c r="S71" s="30"/>
      <c r="T71" s="30" t="s">
        <v>289</v>
      </c>
      <c r="U71" s="32"/>
      <c r="V71" s="32"/>
      <c r="W71" s="32"/>
    </row>
    <row r="72" ht="14.25" customHeight="1">
      <c r="C72" s="32"/>
      <c r="D72" s="33" t="s">
        <v>284</v>
      </c>
      <c r="E72" s="33" t="s">
        <v>284</v>
      </c>
      <c r="F72" s="33" t="s">
        <v>285</v>
      </c>
      <c r="G72" s="30" t="s">
        <v>241</v>
      </c>
      <c r="H72" s="30" t="s">
        <v>290</v>
      </c>
      <c r="I72" s="30"/>
      <c r="J72" s="59">
        <v>6.81627285348645</v>
      </c>
      <c r="K72" s="30"/>
      <c r="L72" s="32"/>
      <c r="M72" s="32"/>
      <c r="N72" s="32"/>
      <c r="O72" s="43" t="s">
        <v>29</v>
      </c>
      <c r="P72" s="68" t="s">
        <v>291</v>
      </c>
      <c r="Q72" s="30"/>
      <c r="R72" s="41"/>
      <c r="S72" s="30"/>
      <c r="T72" s="30" t="s">
        <v>292</v>
      </c>
      <c r="U72" s="32"/>
      <c r="V72" s="32"/>
      <c r="W72" s="32"/>
    </row>
    <row r="73" ht="14.25" customHeight="1">
      <c r="A73" s="108"/>
      <c r="B73" s="108"/>
      <c r="C73" s="109"/>
      <c r="D73" s="110"/>
      <c r="E73" s="110"/>
      <c r="F73" s="110"/>
      <c r="G73" s="109"/>
      <c r="H73" s="109"/>
      <c r="I73" s="109"/>
      <c r="J73" s="109"/>
      <c r="K73" s="109"/>
      <c r="L73" s="109"/>
      <c r="M73" s="109"/>
      <c r="N73" s="109"/>
      <c r="O73" s="109"/>
      <c r="P73" s="109"/>
      <c r="Q73" s="109"/>
      <c r="R73" s="111"/>
      <c r="S73" s="109"/>
      <c r="T73" s="109"/>
      <c r="U73" s="109"/>
      <c r="V73" s="109"/>
      <c r="W73" s="109"/>
      <c r="X73" s="108"/>
      <c r="Y73" s="108"/>
      <c r="Z73" s="108"/>
      <c r="AA73" s="108"/>
      <c r="AB73" s="108"/>
      <c r="AC73" s="108"/>
      <c r="AD73" s="108"/>
      <c r="AE73" s="108"/>
      <c r="AF73" s="108"/>
      <c r="AG73" s="108"/>
      <c r="AH73" s="108"/>
      <c r="AI73" s="108"/>
      <c r="AJ73" s="108"/>
      <c r="AK73" s="108"/>
    </row>
    <row r="74" ht="14.25" customHeight="1">
      <c r="A74" s="52" t="s">
        <v>293</v>
      </c>
      <c r="B74" s="42">
        <v>1.0</v>
      </c>
      <c r="C74" s="30" t="s">
        <v>231</v>
      </c>
      <c r="D74" s="33" t="s">
        <v>294</v>
      </c>
      <c r="E74" s="33" t="s">
        <v>294</v>
      </c>
      <c r="F74" s="33" t="s">
        <v>295</v>
      </c>
      <c r="G74" s="30" t="s">
        <v>296</v>
      </c>
      <c r="H74" s="30" t="s">
        <v>297</v>
      </c>
      <c r="I74" s="30" t="s">
        <v>298</v>
      </c>
      <c r="J74" s="13">
        <v>24.7544018499642</v>
      </c>
      <c r="K74" s="30">
        <v>5000.0</v>
      </c>
      <c r="L74" s="30" t="s">
        <v>27</v>
      </c>
      <c r="M74" s="30" t="s">
        <v>27</v>
      </c>
      <c r="N74" s="30" t="s">
        <v>299</v>
      </c>
      <c r="O74" s="43" t="s">
        <v>29</v>
      </c>
      <c r="P74" s="43" t="s">
        <v>300</v>
      </c>
      <c r="Q74" s="43" t="s">
        <v>107</v>
      </c>
      <c r="R74" s="45"/>
      <c r="S74" s="43" t="s">
        <v>140</v>
      </c>
      <c r="T74" s="32"/>
      <c r="U74" s="32"/>
      <c r="V74" s="32"/>
      <c r="W74" s="32"/>
    </row>
    <row r="75" ht="14.25" customHeight="1">
      <c r="C75" s="19"/>
      <c r="D75" s="20"/>
      <c r="E75" s="20"/>
      <c r="F75" s="20"/>
      <c r="G75" s="19"/>
      <c r="H75" s="19"/>
      <c r="I75" s="19"/>
      <c r="J75" s="19"/>
      <c r="K75" s="19"/>
      <c r="L75" s="19"/>
      <c r="M75" s="19"/>
      <c r="N75" s="19"/>
      <c r="O75" s="19"/>
      <c r="P75" s="19"/>
      <c r="Q75" s="19"/>
      <c r="R75" s="21"/>
      <c r="S75" s="19"/>
      <c r="T75" s="19"/>
      <c r="U75" s="19"/>
      <c r="V75" s="19"/>
      <c r="W75" s="19"/>
      <c r="X75" s="22"/>
      <c r="Y75" s="23"/>
    </row>
    <row r="76" ht="14.25" customHeight="1">
      <c r="B76" s="42">
        <v>2.0</v>
      </c>
      <c r="C76" s="30" t="s">
        <v>301</v>
      </c>
      <c r="D76" s="33" t="s">
        <v>302</v>
      </c>
      <c r="E76" s="33" t="s">
        <v>302</v>
      </c>
      <c r="F76" s="112" t="s">
        <v>302</v>
      </c>
      <c r="G76" s="30" t="s">
        <v>303</v>
      </c>
      <c r="H76" s="30" t="s">
        <v>304</v>
      </c>
      <c r="I76" s="30"/>
      <c r="J76" s="59">
        <v>37.1</v>
      </c>
      <c r="K76" s="30">
        <v>8000.0</v>
      </c>
      <c r="L76" s="30" t="s">
        <v>62</v>
      </c>
      <c r="M76" s="30" t="s">
        <v>45</v>
      </c>
      <c r="N76" s="30" t="s">
        <v>28</v>
      </c>
      <c r="O76" s="43" t="s">
        <v>59</v>
      </c>
      <c r="P76" s="43" t="s">
        <v>300</v>
      </c>
      <c r="Q76" s="43" t="s">
        <v>305</v>
      </c>
      <c r="R76" s="45" t="s">
        <v>47</v>
      </c>
      <c r="S76" s="43" t="s">
        <v>140</v>
      </c>
      <c r="T76" s="32"/>
      <c r="U76" s="32"/>
      <c r="V76" s="32"/>
      <c r="W76" s="32"/>
    </row>
    <row r="77" ht="14.25" customHeight="1">
      <c r="C77" s="32"/>
      <c r="D77" s="33" t="s">
        <v>302</v>
      </c>
      <c r="E77" s="33" t="s">
        <v>302</v>
      </c>
      <c r="F77" s="112" t="s">
        <v>302</v>
      </c>
      <c r="G77" s="30" t="s">
        <v>306</v>
      </c>
      <c r="H77" s="30" t="s">
        <v>307</v>
      </c>
      <c r="I77" s="30"/>
      <c r="J77" s="59">
        <v>228.0</v>
      </c>
      <c r="K77" s="43">
        <v>25000.0</v>
      </c>
      <c r="L77" s="30" t="s">
        <v>45</v>
      </c>
      <c r="M77" s="30" t="s">
        <v>90</v>
      </c>
      <c r="N77" s="30" t="s">
        <v>45</v>
      </c>
      <c r="O77" s="43" t="s">
        <v>29</v>
      </c>
      <c r="P77" s="43" t="s">
        <v>300</v>
      </c>
      <c r="Q77" s="43" t="s">
        <v>305</v>
      </c>
      <c r="R77" s="45" t="s">
        <v>47</v>
      </c>
      <c r="S77" s="43" t="s">
        <v>140</v>
      </c>
      <c r="T77" s="32"/>
      <c r="U77" s="32"/>
      <c r="V77" s="32"/>
      <c r="W77" s="32"/>
    </row>
    <row r="78" ht="14.25" customHeight="1">
      <c r="C78" s="19"/>
      <c r="D78" s="20"/>
      <c r="E78" s="20"/>
      <c r="F78" s="20"/>
      <c r="G78" s="19"/>
      <c r="H78" s="19"/>
      <c r="I78" s="19"/>
      <c r="J78" s="19"/>
      <c r="K78" s="19"/>
      <c r="L78" s="19"/>
      <c r="M78" s="19"/>
      <c r="N78" s="19"/>
      <c r="O78" s="19"/>
      <c r="P78" s="19"/>
      <c r="Q78" s="19"/>
      <c r="R78" s="21"/>
      <c r="S78" s="19"/>
      <c r="T78" s="19"/>
      <c r="U78" s="19"/>
      <c r="V78" s="19"/>
      <c r="W78" s="19"/>
      <c r="X78" s="22"/>
      <c r="Y78" s="23"/>
    </row>
    <row r="79" ht="14.25" customHeight="1">
      <c r="B79" s="42">
        <v>3.0</v>
      </c>
      <c r="C79" s="30" t="s">
        <v>308</v>
      </c>
      <c r="D79" s="33" t="s">
        <v>309</v>
      </c>
      <c r="E79" s="33" t="s">
        <v>309</v>
      </c>
      <c r="F79" s="33" t="s">
        <v>80</v>
      </c>
      <c r="G79" s="30" t="s">
        <v>81</v>
      </c>
      <c r="H79" s="30" t="s">
        <v>310</v>
      </c>
      <c r="I79" s="30" t="s">
        <v>311</v>
      </c>
      <c r="J79" s="13">
        <v>12.4058069647303</v>
      </c>
      <c r="K79" s="30">
        <v>3500.0</v>
      </c>
      <c r="L79" s="30" t="s">
        <v>104</v>
      </c>
      <c r="M79" s="30" t="s">
        <v>27</v>
      </c>
      <c r="N79" s="30" t="s">
        <v>28</v>
      </c>
      <c r="O79" s="43" t="s">
        <v>59</v>
      </c>
      <c r="P79" s="43" t="s">
        <v>300</v>
      </c>
      <c r="Q79" s="43" t="s">
        <v>312</v>
      </c>
      <c r="R79" s="45" t="s">
        <v>47</v>
      </c>
      <c r="S79" s="43" t="s">
        <v>140</v>
      </c>
      <c r="T79" s="32"/>
      <c r="U79" s="32"/>
      <c r="V79" s="32"/>
      <c r="W79" s="32"/>
    </row>
    <row r="80" ht="14.25" customHeight="1">
      <c r="C80" s="19"/>
      <c r="D80" s="20"/>
      <c r="E80" s="20"/>
      <c r="F80" s="20"/>
      <c r="G80" s="19"/>
      <c r="H80" s="19"/>
      <c r="I80" s="19"/>
      <c r="J80" s="19"/>
      <c r="K80" s="19"/>
      <c r="L80" s="19"/>
      <c r="M80" s="19"/>
      <c r="N80" s="19"/>
      <c r="O80" s="19"/>
      <c r="P80" s="19"/>
      <c r="Q80" s="19"/>
      <c r="R80" s="21"/>
      <c r="S80" s="19"/>
      <c r="T80" s="19"/>
      <c r="U80" s="19"/>
      <c r="V80" s="19"/>
      <c r="W80" s="19"/>
      <c r="X80" s="22"/>
      <c r="Y80" s="23"/>
    </row>
    <row r="81" ht="14.25" customHeight="1">
      <c r="B81" s="42">
        <v>4.0</v>
      </c>
      <c r="C81" s="30" t="s">
        <v>313</v>
      </c>
      <c r="D81" s="33" t="s">
        <v>314</v>
      </c>
      <c r="E81" s="33" t="s">
        <v>314</v>
      </c>
      <c r="F81" s="33" t="s">
        <v>315</v>
      </c>
      <c r="G81" s="30" t="s">
        <v>316</v>
      </c>
      <c r="H81" s="30" t="s">
        <v>317</v>
      </c>
      <c r="I81" s="30" t="s">
        <v>318</v>
      </c>
      <c r="J81" s="13">
        <v>36.5489111527809</v>
      </c>
      <c r="K81" s="30">
        <v>6000.0</v>
      </c>
      <c r="L81" s="30" t="s">
        <v>90</v>
      </c>
      <c r="M81" s="30" t="s">
        <v>27</v>
      </c>
      <c r="N81" s="30" t="s">
        <v>90</v>
      </c>
      <c r="O81" s="43" t="s">
        <v>59</v>
      </c>
      <c r="P81" s="43" t="s">
        <v>300</v>
      </c>
      <c r="Q81" s="43" t="s">
        <v>312</v>
      </c>
      <c r="R81" s="45" t="s">
        <v>47</v>
      </c>
      <c r="S81" s="43" t="s">
        <v>140</v>
      </c>
      <c r="T81" s="32"/>
      <c r="U81" s="32"/>
      <c r="V81" s="32"/>
      <c r="W81" s="32"/>
    </row>
    <row r="82" ht="14.25" customHeight="1">
      <c r="C82" s="19"/>
      <c r="D82" s="20"/>
      <c r="E82" s="20"/>
      <c r="F82" s="20"/>
      <c r="G82" s="19"/>
      <c r="H82" s="19"/>
      <c r="I82" s="19"/>
      <c r="J82" s="19"/>
      <c r="K82" s="19"/>
      <c r="L82" s="19"/>
      <c r="M82" s="19"/>
      <c r="N82" s="19"/>
      <c r="O82" s="19"/>
      <c r="P82" s="19"/>
      <c r="Q82" s="19"/>
      <c r="R82" s="21"/>
      <c r="S82" s="19"/>
      <c r="T82" s="19"/>
      <c r="U82" s="19"/>
      <c r="V82" s="19"/>
      <c r="W82" s="19"/>
      <c r="X82" s="22"/>
      <c r="Y82" s="23"/>
    </row>
    <row r="83" ht="14.25" customHeight="1">
      <c r="B83" s="42">
        <v>5.0</v>
      </c>
      <c r="C83" s="30" t="s">
        <v>254</v>
      </c>
      <c r="D83" s="33" t="s">
        <v>319</v>
      </c>
      <c r="E83" s="33" t="s">
        <v>319</v>
      </c>
      <c r="F83" s="33" t="s">
        <v>320</v>
      </c>
      <c r="G83" s="30" t="s">
        <v>321</v>
      </c>
      <c r="H83" s="30" t="s">
        <v>322</v>
      </c>
      <c r="I83" s="30" t="s">
        <v>323</v>
      </c>
      <c r="J83" s="13">
        <v>20.3198025078827</v>
      </c>
      <c r="K83" s="30">
        <v>4000.0</v>
      </c>
      <c r="L83" s="30" t="s">
        <v>45</v>
      </c>
      <c r="M83" s="30" t="s">
        <v>90</v>
      </c>
      <c r="N83" s="30" t="s">
        <v>28</v>
      </c>
      <c r="O83" s="43" t="s">
        <v>29</v>
      </c>
      <c r="P83" s="43" t="s">
        <v>324</v>
      </c>
      <c r="Q83" s="43" t="s">
        <v>312</v>
      </c>
      <c r="R83" s="45" t="s">
        <v>47</v>
      </c>
      <c r="S83" s="43" t="s">
        <v>108</v>
      </c>
      <c r="T83" s="32"/>
      <c r="U83" s="32"/>
      <c r="V83" s="32"/>
      <c r="W83" s="32"/>
    </row>
    <row r="84" ht="14.25" customHeight="1">
      <c r="C84" s="19"/>
      <c r="D84" s="20"/>
      <c r="E84" s="20"/>
      <c r="F84" s="20"/>
      <c r="G84" s="19"/>
      <c r="H84" s="19"/>
      <c r="I84" s="19"/>
      <c r="J84" s="19"/>
      <c r="K84" s="19"/>
      <c r="L84" s="19"/>
      <c r="M84" s="19"/>
      <c r="N84" s="19"/>
      <c r="O84" s="19"/>
      <c r="P84" s="19"/>
      <c r="Q84" s="19"/>
      <c r="R84" s="21"/>
      <c r="S84" s="19"/>
      <c r="T84" s="19"/>
      <c r="U84" s="19"/>
      <c r="V84" s="19"/>
      <c r="W84" s="19"/>
      <c r="X84" s="22"/>
      <c r="Y84" s="23"/>
    </row>
    <row r="85" ht="14.25" customHeight="1">
      <c r="B85" s="42">
        <v>6.0</v>
      </c>
      <c r="C85" s="30" t="s">
        <v>325</v>
      </c>
      <c r="D85" s="33" t="s">
        <v>326</v>
      </c>
      <c r="E85" s="33" t="s">
        <v>326</v>
      </c>
      <c r="F85" s="33" t="s">
        <v>327</v>
      </c>
      <c r="G85" s="30" t="s">
        <v>328</v>
      </c>
      <c r="H85" s="30" t="s">
        <v>329</v>
      </c>
      <c r="I85" s="30" t="s">
        <v>330</v>
      </c>
      <c r="J85" s="13">
        <v>32.3777060514449</v>
      </c>
      <c r="K85" s="30">
        <v>5000.0</v>
      </c>
      <c r="L85" s="30" t="s">
        <v>331</v>
      </c>
      <c r="M85" s="30" t="s">
        <v>45</v>
      </c>
      <c r="N85" s="30" t="s">
        <v>45</v>
      </c>
      <c r="O85" s="43" t="s">
        <v>29</v>
      </c>
      <c r="P85" s="43" t="s">
        <v>332</v>
      </c>
      <c r="Q85" s="43" t="s">
        <v>333</v>
      </c>
      <c r="R85" s="45"/>
      <c r="S85" s="43" t="s">
        <v>334</v>
      </c>
      <c r="T85" s="32"/>
      <c r="U85" s="32"/>
      <c r="V85" s="32"/>
      <c r="W85" s="32"/>
    </row>
    <row r="86" ht="14.25" customHeight="1">
      <c r="C86" s="19"/>
      <c r="D86" s="20"/>
      <c r="E86" s="20"/>
      <c r="F86" s="20"/>
      <c r="G86" s="19"/>
      <c r="H86" s="19"/>
      <c r="I86" s="19"/>
      <c r="J86" s="19"/>
      <c r="K86" s="19"/>
      <c r="L86" s="19"/>
      <c r="M86" s="19"/>
      <c r="N86" s="19"/>
      <c r="O86" s="19"/>
      <c r="P86" s="19"/>
      <c r="Q86" s="19"/>
      <c r="R86" s="21"/>
      <c r="S86" s="19"/>
      <c r="T86" s="19"/>
      <c r="U86" s="19"/>
      <c r="V86" s="19"/>
      <c r="W86" s="19"/>
      <c r="X86" s="22"/>
      <c r="Y86" s="23"/>
    </row>
    <row r="87" ht="14.25" customHeight="1">
      <c r="B87" s="42">
        <v>7.0</v>
      </c>
      <c r="C87" s="30" t="s">
        <v>335</v>
      </c>
      <c r="D87" s="33" t="s">
        <v>336</v>
      </c>
      <c r="E87" s="33" t="s">
        <v>336</v>
      </c>
      <c r="F87" s="33" t="s">
        <v>337</v>
      </c>
      <c r="G87" s="30" t="s">
        <v>338</v>
      </c>
      <c r="H87" s="30" t="s">
        <v>339</v>
      </c>
      <c r="I87" s="43" t="s">
        <v>340</v>
      </c>
      <c r="J87" s="13">
        <v>13.6997866966785</v>
      </c>
      <c r="K87" s="30">
        <v>4000.0</v>
      </c>
      <c r="L87" s="30" t="s">
        <v>331</v>
      </c>
      <c r="M87" s="30" t="s">
        <v>27</v>
      </c>
      <c r="N87" s="30" t="s">
        <v>73</v>
      </c>
      <c r="O87" s="68" t="s">
        <v>59</v>
      </c>
      <c r="P87" s="68" t="s">
        <v>341</v>
      </c>
      <c r="Q87" s="43" t="s">
        <v>312</v>
      </c>
      <c r="R87" s="45" t="s">
        <v>47</v>
      </c>
      <c r="S87" s="43" t="s">
        <v>48</v>
      </c>
      <c r="T87" s="63" t="s">
        <v>342</v>
      </c>
      <c r="U87" s="32"/>
      <c r="V87" s="32"/>
      <c r="W87" s="32"/>
    </row>
    <row r="88" ht="14.25" customHeight="1">
      <c r="C88" s="32"/>
      <c r="D88" s="33" t="s">
        <v>336</v>
      </c>
      <c r="E88" s="33" t="s">
        <v>336</v>
      </c>
      <c r="F88" s="33" t="s">
        <v>337</v>
      </c>
      <c r="G88" s="30" t="s">
        <v>343</v>
      </c>
      <c r="H88" s="30" t="s">
        <v>344</v>
      </c>
      <c r="I88" s="30" t="s">
        <v>345</v>
      </c>
      <c r="J88" s="13">
        <v>30.4220032094024</v>
      </c>
      <c r="K88" s="30">
        <v>5000.0</v>
      </c>
      <c r="L88" s="30" t="s">
        <v>331</v>
      </c>
      <c r="M88" s="30" t="s">
        <v>27</v>
      </c>
      <c r="N88" s="30" t="s">
        <v>27</v>
      </c>
      <c r="O88" s="68" t="s">
        <v>59</v>
      </c>
      <c r="P88" s="68" t="s">
        <v>341</v>
      </c>
      <c r="Q88" s="43" t="s">
        <v>312</v>
      </c>
      <c r="R88" s="45" t="s">
        <v>47</v>
      </c>
      <c r="S88" s="43" t="s">
        <v>48</v>
      </c>
      <c r="T88" s="37"/>
      <c r="U88" s="32"/>
      <c r="V88" s="32"/>
      <c r="W88" s="32"/>
    </row>
    <row r="89" ht="14.25" customHeight="1">
      <c r="C89" s="19"/>
      <c r="D89" s="20"/>
      <c r="E89" s="20"/>
      <c r="F89" s="20"/>
      <c r="G89" s="19"/>
      <c r="H89" s="19"/>
      <c r="I89" s="19"/>
      <c r="J89" s="19"/>
      <c r="K89" s="19"/>
      <c r="L89" s="19"/>
      <c r="M89" s="19"/>
      <c r="N89" s="19"/>
      <c r="O89" s="19"/>
      <c r="P89" s="19"/>
      <c r="Q89" s="19"/>
      <c r="R89" s="21"/>
      <c r="S89" s="19"/>
      <c r="T89" s="19"/>
      <c r="U89" s="19"/>
      <c r="V89" s="19"/>
      <c r="W89" s="19"/>
      <c r="X89" s="22"/>
      <c r="Y89" s="23"/>
    </row>
    <row r="90" ht="14.25" customHeight="1">
      <c r="B90" s="42">
        <v>8.0</v>
      </c>
      <c r="C90" s="30" t="s">
        <v>346</v>
      </c>
      <c r="D90" s="33" t="s">
        <v>347</v>
      </c>
      <c r="E90" s="33" t="s">
        <v>347</v>
      </c>
      <c r="F90" s="33" t="s">
        <v>348</v>
      </c>
      <c r="G90" s="30" t="s">
        <v>349</v>
      </c>
      <c r="H90" s="30" t="s">
        <v>350</v>
      </c>
      <c r="I90" s="30" t="s">
        <v>351</v>
      </c>
      <c r="J90" s="13">
        <v>17.1841908147639</v>
      </c>
      <c r="K90" s="30">
        <v>4000.0</v>
      </c>
      <c r="L90" s="30" t="s">
        <v>104</v>
      </c>
      <c r="M90" s="30" t="s">
        <v>84</v>
      </c>
      <c r="N90" s="30" t="s">
        <v>27</v>
      </c>
      <c r="O90" s="68" t="s">
        <v>29</v>
      </c>
      <c r="P90" s="68" t="s">
        <v>352</v>
      </c>
      <c r="Q90" s="43" t="s">
        <v>333</v>
      </c>
      <c r="R90" s="45"/>
      <c r="S90" s="43" t="s">
        <v>62</v>
      </c>
      <c r="T90" s="30" t="s">
        <v>353</v>
      </c>
      <c r="U90" s="32"/>
      <c r="V90" s="32"/>
      <c r="W90" s="32"/>
    </row>
    <row r="91" ht="14.25" customHeight="1">
      <c r="C91" s="19"/>
      <c r="D91" s="20"/>
      <c r="E91" s="20"/>
      <c r="F91" s="20"/>
      <c r="G91" s="19"/>
      <c r="H91" s="19"/>
      <c r="I91" s="19"/>
      <c r="J91" s="19"/>
      <c r="K91" s="19"/>
      <c r="L91" s="19"/>
      <c r="M91" s="19"/>
      <c r="N91" s="19"/>
      <c r="O91" s="19"/>
      <c r="P91" s="19"/>
      <c r="Q91" s="19"/>
      <c r="R91" s="21"/>
      <c r="S91" s="19"/>
      <c r="T91" s="19"/>
      <c r="U91" s="19"/>
      <c r="V91" s="19"/>
      <c r="W91" s="19"/>
      <c r="X91" s="22"/>
      <c r="Y91" s="23"/>
    </row>
    <row r="92" ht="14.25" customHeight="1">
      <c r="B92" s="42">
        <v>9.0</v>
      </c>
      <c r="C92" s="30" t="s">
        <v>354</v>
      </c>
      <c r="D92" s="33" t="s">
        <v>355</v>
      </c>
      <c r="E92" s="33" t="s">
        <v>355</v>
      </c>
      <c r="F92" s="33" t="s">
        <v>35</v>
      </c>
      <c r="G92" s="30" t="s">
        <v>36</v>
      </c>
      <c r="H92" s="30" t="s">
        <v>356</v>
      </c>
      <c r="I92" s="30" t="s">
        <v>357</v>
      </c>
      <c r="J92" s="13">
        <v>35.0022751947445</v>
      </c>
      <c r="K92" s="30">
        <v>5000.0</v>
      </c>
      <c r="L92" s="30" t="s">
        <v>27</v>
      </c>
      <c r="M92" s="30" t="s">
        <v>45</v>
      </c>
      <c r="N92" s="30" t="s">
        <v>45</v>
      </c>
      <c r="O92" s="43" t="s">
        <v>59</v>
      </c>
      <c r="P92" s="43" t="s">
        <v>358</v>
      </c>
      <c r="Q92" s="43" t="s">
        <v>121</v>
      </c>
      <c r="R92" s="45" t="s">
        <v>47</v>
      </c>
      <c r="S92" s="43" t="s">
        <v>39</v>
      </c>
      <c r="T92" s="32"/>
      <c r="U92" s="32"/>
      <c r="V92" s="32"/>
      <c r="W92" s="32"/>
    </row>
    <row r="93" ht="14.25" customHeight="1">
      <c r="C93" s="19"/>
      <c r="D93" s="20"/>
      <c r="E93" s="20"/>
      <c r="F93" s="20"/>
      <c r="G93" s="19"/>
      <c r="H93" s="19"/>
      <c r="I93" s="19"/>
      <c r="J93" s="19"/>
      <c r="K93" s="19"/>
      <c r="L93" s="19"/>
      <c r="M93" s="19"/>
      <c r="N93" s="19"/>
      <c r="O93" s="19"/>
      <c r="P93" s="19"/>
      <c r="Q93" s="19"/>
      <c r="R93" s="21"/>
      <c r="S93" s="19"/>
      <c r="T93" s="19"/>
      <c r="U93" s="19"/>
      <c r="V93" s="19"/>
      <c r="W93" s="19"/>
      <c r="X93" s="22"/>
      <c r="Y93" s="23"/>
    </row>
    <row r="94" ht="14.25" customHeight="1">
      <c r="B94" s="42">
        <v>10.0</v>
      </c>
      <c r="C94" s="30" t="s">
        <v>359</v>
      </c>
      <c r="D94" s="33" t="s">
        <v>360</v>
      </c>
      <c r="E94" s="33" t="s">
        <v>360</v>
      </c>
      <c r="F94" s="33" t="s">
        <v>211</v>
      </c>
      <c r="G94" s="30" t="s">
        <v>212</v>
      </c>
      <c r="H94" s="30" t="s">
        <v>361</v>
      </c>
      <c r="I94" s="30" t="s">
        <v>362</v>
      </c>
      <c r="J94" s="13">
        <v>20.0502928365148</v>
      </c>
      <c r="K94" s="30">
        <v>5000.0</v>
      </c>
      <c r="L94" s="30" t="s">
        <v>90</v>
      </c>
      <c r="M94" s="30" t="s">
        <v>27</v>
      </c>
      <c r="N94" s="30" t="s">
        <v>27</v>
      </c>
      <c r="O94" s="43" t="s">
        <v>29</v>
      </c>
      <c r="P94" s="43" t="s">
        <v>363</v>
      </c>
      <c r="Q94" s="43" t="s">
        <v>364</v>
      </c>
      <c r="R94" s="45"/>
      <c r="S94" s="43" t="s">
        <v>365</v>
      </c>
      <c r="T94" s="30" t="s">
        <v>366</v>
      </c>
      <c r="U94" s="32"/>
      <c r="V94" s="32"/>
      <c r="W94" s="32"/>
    </row>
    <row r="95" ht="14.25" customHeight="1">
      <c r="A95" s="113" t="s">
        <v>367</v>
      </c>
      <c r="B95" s="113"/>
      <c r="C95" s="114" t="s">
        <v>368</v>
      </c>
      <c r="D95" s="115"/>
      <c r="E95" s="115"/>
      <c r="F95" s="115"/>
      <c r="G95" s="114"/>
      <c r="H95" s="114"/>
      <c r="I95" s="114"/>
      <c r="J95" s="114"/>
      <c r="K95" s="114"/>
      <c r="L95" s="114"/>
      <c r="M95" s="114"/>
      <c r="N95" s="114"/>
      <c r="O95" s="114"/>
      <c r="P95" s="114"/>
      <c r="Q95" s="114"/>
      <c r="R95" s="116"/>
      <c r="S95" s="114"/>
      <c r="T95" s="114"/>
      <c r="U95" s="117"/>
      <c r="V95" s="117"/>
      <c r="W95" s="117"/>
      <c r="X95" s="118"/>
      <c r="Y95" s="118"/>
      <c r="Z95" s="118"/>
      <c r="AA95" s="118"/>
      <c r="AB95" s="118"/>
      <c r="AC95" s="118"/>
      <c r="AD95" s="118"/>
      <c r="AE95" s="118"/>
      <c r="AF95" s="118"/>
      <c r="AG95" s="118"/>
      <c r="AH95" s="118"/>
      <c r="AI95" s="118"/>
      <c r="AJ95" s="118"/>
      <c r="AK95" s="118"/>
    </row>
    <row r="96" ht="14.25" customHeight="1">
      <c r="A96" s="108"/>
      <c r="B96" s="108"/>
      <c r="C96" s="108"/>
      <c r="D96" s="119"/>
      <c r="E96" s="119"/>
      <c r="F96" s="119"/>
      <c r="G96" s="108"/>
      <c r="H96" s="108"/>
      <c r="I96" s="108"/>
      <c r="J96" s="108"/>
      <c r="K96" s="108"/>
      <c r="L96" s="108"/>
      <c r="M96" s="108"/>
      <c r="N96" s="108"/>
      <c r="O96" s="108"/>
      <c r="P96" s="108"/>
      <c r="Q96" s="108"/>
      <c r="R96" s="120"/>
      <c r="S96" s="108"/>
      <c r="T96" s="108"/>
      <c r="U96" s="108"/>
      <c r="V96" s="108"/>
      <c r="W96" s="108"/>
      <c r="X96" s="108"/>
      <c r="Y96" s="108"/>
      <c r="Z96" s="108"/>
      <c r="AA96" s="108"/>
      <c r="AB96" s="108"/>
      <c r="AC96" s="108"/>
      <c r="AD96" s="108"/>
      <c r="AE96" s="108"/>
      <c r="AF96" s="108"/>
      <c r="AG96" s="108"/>
      <c r="AH96" s="108"/>
      <c r="AI96" s="108"/>
      <c r="AJ96" s="108"/>
      <c r="AK96" s="108"/>
    </row>
    <row r="97" ht="14.25" customHeight="1">
      <c r="A97" s="42" t="s">
        <v>369</v>
      </c>
      <c r="B97" s="42">
        <v>1.0</v>
      </c>
      <c r="C97" s="42" t="s">
        <v>141</v>
      </c>
      <c r="D97" s="75" t="s">
        <v>370</v>
      </c>
      <c r="E97" s="75" t="s">
        <v>370</v>
      </c>
      <c r="F97" s="121" t="s">
        <v>370</v>
      </c>
      <c r="G97" s="42" t="s">
        <v>371</v>
      </c>
      <c r="H97" s="42" t="s">
        <v>372</v>
      </c>
      <c r="J97" s="95">
        <v>22.2</v>
      </c>
      <c r="K97" s="42">
        <v>4000.0</v>
      </c>
      <c r="L97" s="42" t="s">
        <v>373</v>
      </c>
      <c r="M97" s="42" t="s">
        <v>374</v>
      </c>
      <c r="N97" s="42" t="s">
        <v>40</v>
      </c>
      <c r="O97" s="95" t="s">
        <v>29</v>
      </c>
      <c r="P97" s="95" t="s">
        <v>41</v>
      </c>
      <c r="R97" s="122"/>
    </row>
    <row r="98" ht="14.25" customHeight="1">
      <c r="B98" s="80"/>
      <c r="C98" s="80"/>
      <c r="D98" s="123"/>
      <c r="E98" s="123"/>
      <c r="F98" s="123"/>
      <c r="G98" s="80"/>
      <c r="H98" s="80"/>
      <c r="I98" s="80"/>
      <c r="J98" s="80"/>
      <c r="K98" s="80"/>
      <c r="L98" s="80"/>
      <c r="M98" s="80"/>
      <c r="N98" s="80"/>
      <c r="O98" s="80"/>
      <c r="P98" s="80"/>
      <c r="Q98" s="80"/>
      <c r="R98" s="124"/>
      <c r="S98" s="80"/>
      <c r="T98" s="80"/>
      <c r="U98" s="80"/>
      <c r="V98" s="80"/>
      <c r="W98" s="80"/>
      <c r="X98" s="80"/>
      <c r="Y98" s="80"/>
      <c r="Z98" s="80"/>
      <c r="AA98" s="80"/>
      <c r="AB98" s="80"/>
      <c r="AC98" s="80"/>
      <c r="AD98" s="80"/>
      <c r="AE98" s="80"/>
      <c r="AF98" s="80"/>
      <c r="AG98" s="80"/>
      <c r="AH98" s="80"/>
      <c r="AI98" s="80"/>
      <c r="AJ98" s="80"/>
      <c r="AK98" s="80"/>
    </row>
    <row r="99" ht="14.25" customHeight="1">
      <c r="B99" s="42">
        <v>2.0</v>
      </c>
      <c r="C99" s="42" t="s">
        <v>335</v>
      </c>
      <c r="D99" s="75" t="s">
        <v>375</v>
      </c>
      <c r="E99" s="75" t="s">
        <v>375</v>
      </c>
      <c r="F99" s="121" t="s">
        <v>375</v>
      </c>
      <c r="G99" s="42" t="s">
        <v>376</v>
      </c>
      <c r="H99" s="42" t="s">
        <v>377</v>
      </c>
      <c r="J99" s="125">
        <v>15.3</v>
      </c>
      <c r="K99" s="42">
        <v>4000.0</v>
      </c>
      <c r="L99" s="42" t="s">
        <v>378</v>
      </c>
      <c r="M99" s="42" t="s">
        <v>379</v>
      </c>
      <c r="N99" s="42" t="s">
        <v>380</v>
      </c>
      <c r="O99" s="95" t="s">
        <v>59</v>
      </c>
      <c r="P99" s="95" t="s">
        <v>41</v>
      </c>
      <c r="Q99" s="95" t="s">
        <v>122</v>
      </c>
      <c r="R99" s="126" t="s">
        <v>122</v>
      </c>
      <c r="S99" s="95" t="s">
        <v>381</v>
      </c>
    </row>
    <row r="100" ht="14.25" customHeight="1">
      <c r="B100" s="80"/>
      <c r="C100" s="80"/>
      <c r="D100" s="123"/>
      <c r="E100" s="123"/>
      <c r="F100" s="123"/>
      <c r="G100" s="80"/>
      <c r="H100" s="80"/>
      <c r="I100" s="80"/>
      <c r="J100" s="80"/>
      <c r="K100" s="80"/>
      <c r="L100" s="80"/>
      <c r="M100" s="80"/>
      <c r="N100" s="80"/>
      <c r="O100" s="80"/>
      <c r="P100" s="80"/>
      <c r="Q100" s="80"/>
      <c r="R100" s="124"/>
      <c r="S100" s="80"/>
      <c r="T100" s="80"/>
      <c r="U100" s="80"/>
      <c r="V100" s="80"/>
      <c r="W100" s="80"/>
      <c r="X100" s="80"/>
      <c r="Y100" s="80"/>
      <c r="Z100" s="80"/>
      <c r="AA100" s="80"/>
      <c r="AB100" s="80"/>
      <c r="AC100" s="80"/>
      <c r="AD100" s="80"/>
      <c r="AE100" s="80"/>
      <c r="AF100" s="80"/>
      <c r="AG100" s="80"/>
      <c r="AH100" s="80"/>
      <c r="AI100" s="80"/>
      <c r="AJ100" s="80"/>
      <c r="AK100" s="80"/>
    </row>
    <row r="101" ht="14.25" customHeight="1">
      <c r="B101" s="42">
        <v>3.0</v>
      </c>
      <c r="C101" s="42" t="s">
        <v>231</v>
      </c>
      <c r="D101" s="75" t="s">
        <v>382</v>
      </c>
      <c r="E101" s="75" t="s">
        <v>382</v>
      </c>
      <c r="F101" s="75" t="s">
        <v>295</v>
      </c>
      <c r="G101" s="42" t="s">
        <v>296</v>
      </c>
      <c r="H101" s="42" t="s">
        <v>383</v>
      </c>
      <c r="J101" s="125">
        <v>27.8</v>
      </c>
      <c r="K101" s="42">
        <v>6000.0</v>
      </c>
      <c r="L101" s="42" t="s">
        <v>73</v>
      </c>
      <c r="M101" s="42" t="s">
        <v>73</v>
      </c>
      <c r="N101" s="42" t="s">
        <v>73</v>
      </c>
      <c r="O101" s="127" t="s">
        <v>29</v>
      </c>
      <c r="P101" s="127" t="s">
        <v>384</v>
      </c>
      <c r="Q101" s="95" t="s">
        <v>312</v>
      </c>
      <c r="R101" s="126"/>
      <c r="S101" s="95" t="s">
        <v>334</v>
      </c>
      <c r="T101" s="42" t="s">
        <v>385</v>
      </c>
    </row>
    <row r="102" ht="14.25" customHeight="1">
      <c r="B102" s="80"/>
      <c r="C102" s="80"/>
      <c r="D102" s="123"/>
      <c r="E102" s="123"/>
      <c r="F102" s="123"/>
      <c r="G102" s="80"/>
      <c r="H102" s="80"/>
      <c r="I102" s="80"/>
      <c r="J102" s="80"/>
      <c r="K102" s="80"/>
      <c r="L102" s="80"/>
      <c r="M102" s="80"/>
      <c r="N102" s="80"/>
      <c r="O102" s="80"/>
      <c r="P102" s="80"/>
      <c r="Q102" s="80"/>
      <c r="R102" s="124"/>
      <c r="S102" s="80"/>
      <c r="T102" s="80"/>
      <c r="U102" s="80"/>
      <c r="V102" s="80"/>
      <c r="W102" s="80"/>
      <c r="X102" s="80"/>
      <c r="Y102" s="80"/>
      <c r="Z102" s="80"/>
      <c r="AA102" s="80"/>
      <c r="AB102" s="80"/>
      <c r="AC102" s="80"/>
      <c r="AD102" s="80"/>
      <c r="AE102" s="80"/>
      <c r="AF102" s="80"/>
      <c r="AG102" s="80"/>
      <c r="AH102" s="80"/>
      <c r="AI102" s="80"/>
      <c r="AJ102" s="80"/>
      <c r="AK102" s="80"/>
    </row>
    <row r="103" ht="14.25" customHeight="1">
      <c r="B103" s="42">
        <v>4.0</v>
      </c>
      <c r="C103" s="42" t="s">
        <v>386</v>
      </c>
      <c r="D103" s="75" t="s">
        <v>387</v>
      </c>
      <c r="E103" s="75" t="s">
        <v>387</v>
      </c>
      <c r="F103" s="121" t="s">
        <v>35</v>
      </c>
      <c r="G103" s="42" t="s">
        <v>388</v>
      </c>
      <c r="H103" s="42" t="s">
        <v>389</v>
      </c>
      <c r="J103" s="125">
        <v>32.8</v>
      </c>
      <c r="K103" s="42">
        <v>5000.0</v>
      </c>
      <c r="L103" s="42" t="s">
        <v>97</v>
      </c>
      <c r="M103" s="42" t="s">
        <v>62</v>
      </c>
      <c r="N103" s="42" t="s">
        <v>390</v>
      </c>
      <c r="O103" s="95" t="s">
        <v>59</v>
      </c>
      <c r="P103" s="95" t="s">
        <v>41</v>
      </c>
      <c r="Q103" s="95" t="s">
        <v>47</v>
      </c>
      <c r="R103" s="126" t="s">
        <v>47</v>
      </c>
      <c r="S103" s="95" t="s">
        <v>39</v>
      </c>
      <c r="T103" s="42" t="s">
        <v>391</v>
      </c>
    </row>
    <row r="104" ht="14.25" customHeight="1">
      <c r="D104" s="75" t="s">
        <v>387</v>
      </c>
      <c r="E104" s="75" t="s">
        <v>387</v>
      </c>
      <c r="F104" s="121" t="s">
        <v>35</v>
      </c>
      <c r="G104" s="42" t="s">
        <v>124</v>
      </c>
      <c r="H104" s="42" t="s">
        <v>392</v>
      </c>
      <c r="J104" s="125">
        <v>36.7</v>
      </c>
      <c r="K104" s="42">
        <v>5000.0</v>
      </c>
      <c r="L104" s="42" t="s">
        <v>97</v>
      </c>
      <c r="M104" s="42" t="s">
        <v>140</v>
      </c>
      <c r="N104" s="42" t="s">
        <v>380</v>
      </c>
      <c r="O104" s="95" t="s">
        <v>59</v>
      </c>
      <c r="P104" s="95" t="s">
        <v>41</v>
      </c>
      <c r="Q104" s="95" t="s">
        <v>47</v>
      </c>
      <c r="R104" s="126" t="s">
        <v>47</v>
      </c>
      <c r="S104" s="95" t="s">
        <v>39</v>
      </c>
    </row>
    <row r="105" ht="14.25" customHeight="1">
      <c r="B105" s="80"/>
      <c r="C105" s="80"/>
      <c r="D105" s="123"/>
      <c r="E105" s="123"/>
      <c r="F105" s="123"/>
      <c r="G105" s="80"/>
      <c r="H105" s="80"/>
      <c r="I105" s="80"/>
      <c r="J105" s="80"/>
      <c r="K105" s="80"/>
      <c r="L105" s="80"/>
      <c r="M105" s="80"/>
      <c r="N105" s="80"/>
      <c r="O105" s="80"/>
      <c r="P105" s="80"/>
      <c r="Q105" s="80"/>
      <c r="R105" s="124"/>
      <c r="S105" s="80"/>
      <c r="T105" s="80"/>
      <c r="U105" s="80"/>
      <c r="V105" s="80"/>
      <c r="W105" s="80"/>
      <c r="X105" s="80"/>
      <c r="Y105" s="80"/>
      <c r="Z105" s="80"/>
      <c r="AA105" s="80"/>
      <c r="AB105" s="80"/>
      <c r="AC105" s="80"/>
      <c r="AD105" s="80"/>
      <c r="AE105" s="80"/>
      <c r="AF105" s="80"/>
      <c r="AG105" s="80"/>
      <c r="AH105" s="80"/>
      <c r="AI105" s="80"/>
      <c r="AJ105" s="80"/>
      <c r="AK105" s="80"/>
    </row>
    <row r="106" ht="14.25" customHeight="1">
      <c r="B106" s="42">
        <v>5.0</v>
      </c>
      <c r="C106" s="42" t="s">
        <v>393</v>
      </c>
      <c r="D106" s="75" t="s">
        <v>394</v>
      </c>
      <c r="E106" s="75" t="s">
        <v>394</v>
      </c>
      <c r="F106" s="121" t="s">
        <v>394</v>
      </c>
      <c r="G106" s="42" t="s">
        <v>395</v>
      </c>
      <c r="H106" s="42" t="s">
        <v>396</v>
      </c>
      <c r="J106" s="125">
        <v>3.3</v>
      </c>
      <c r="O106" s="95" t="s">
        <v>29</v>
      </c>
      <c r="P106" s="95" t="s">
        <v>397</v>
      </c>
      <c r="Q106" s="95" t="s">
        <v>364</v>
      </c>
      <c r="R106" s="126"/>
      <c r="S106" s="95" t="s">
        <v>97</v>
      </c>
      <c r="T106" s="42" t="s">
        <v>398</v>
      </c>
    </row>
    <row r="107" ht="14.25" customHeight="1">
      <c r="B107" s="80"/>
      <c r="C107" s="80"/>
      <c r="D107" s="123"/>
      <c r="E107" s="123"/>
      <c r="F107" s="123"/>
      <c r="G107" s="80"/>
      <c r="H107" s="80"/>
      <c r="I107" s="80"/>
      <c r="J107" s="80"/>
      <c r="K107" s="80"/>
      <c r="L107" s="80"/>
      <c r="M107" s="80"/>
      <c r="N107" s="80"/>
      <c r="O107" s="80"/>
      <c r="P107" s="80"/>
      <c r="Q107" s="80"/>
      <c r="R107" s="124"/>
      <c r="S107" s="80"/>
      <c r="T107" s="80"/>
      <c r="U107" s="80"/>
      <c r="V107" s="80"/>
      <c r="W107" s="80"/>
      <c r="X107" s="80"/>
      <c r="Y107" s="80"/>
      <c r="Z107" s="80"/>
      <c r="AA107" s="80"/>
      <c r="AB107" s="80"/>
      <c r="AC107" s="80"/>
      <c r="AD107" s="80"/>
      <c r="AE107" s="80"/>
      <c r="AF107" s="80"/>
      <c r="AG107" s="80"/>
      <c r="AH107" s="80"/>
      <c r="AI107" s="80"/>
      <c r="AJ107" s="80"/>
      <c r="AK107" s="80"/>
    </row>
    <row r="108" ht="14.25" customHeight="1">
      <c r="B108" s="42">
        <v>6.0</v>
      </c>
      <c r="C108" s="42" t="s">
        <v>399</v>
      </c>
      <c r="D108" s="75" t="s">
        <v>400</v>
      </c>
      <c r="E108" s="75" t="s">
        <v>400</v>
      </c>
      <c r="F108" s="121" t="s">
        <v>400</v>
      </c>
      <c r="G108" s="42" t="s">
        <v>212</v>
      </c>
      <c r="H108" s="42" t="s">
        <v>401</v>
      </c>
      <c r="J108" s="125">
        <v>18.0</v>
      </c>
      <c r="K108" s="42">
        <v>3000.0</v>
      </c>
      <c r="L108" s="42" t="s">
        <v>402</v>
      </c>
      <c r="M108" s="42" t="s">
        <v>334</v>
      </c>
      <c r="N108" s="42" t="s">
        <v>28</v>
      </c>
      <c r="O108" s="95" t="s">
        <v>29</v>
      </c>
      <c r="P108" s="95" t="s">
        <v>41</v>
      </c>
      <c r="R108" s="122"/>
    </row>
    <row r="109" ht="14.25" customHeight="1">
      <c r="B109" s="80"/>
      <c r="C109" s="80"/>
      <c r="D109" s="123"/>
      <c r="E109" s="123"/>
      <c r="F109" s="123"/>
      <c r="G109" s="80"/>
      <c r="H109" s="80"/>
      <c r="I109" s="80"/>
      <c r="J109" s="80"/>
      <c r="K109" s="80"/>
      <c r="L109" s="80"/>
      <c r="M109" s="80"/>
      <c r="N109" s="80"/>
      <c r="O109" s="80"/>
      <c r="P109" s="80"/>
      <c r="Q109" s="80"/>
      <c r="R109" s="124"/>
      <c r="S109" s="80"/>
      <c r="T109" s="80"/>
      <c r="U109" s="80"/>
      <c r="V109" s="80"/>
      <c r="W109" s="80"/>
      <c r="X109" s="80"/>
      <c r="Y109" s="80"/>
      <c r="Z109" s="80"/>
      <c r="AA109" s="80"/>
      <c r="AB109" s="80"/>
      <c r="AC109" s="80"/>
      <c r="AD109" s="80"/>
      <c r="AE109" s="80"/>
      <c r="AF109" s="80"/>
      <c r="AG109" s="80"/>
      <c r="AH109" s="80"/>
      <c r="AI109" s="80"/>
      <c r="AJ109" s="80"/>
      <c r="AK109" s="80"/>
    </row>
    <row r="110" ht="14.25" customHeight="1">
      <c r="B110" s="42">
        <v>7.0</v>
      </c>
      <c r="C110" s="42" t="s">
        <v>403</v>
      </c>
      <c r="D110" s="75" t="s">
        <v>404</v>
      </c>
      <c r="E110" s="75" t="s">
        <v>404</v>
      </c>
      <c r="F110" s="75" t="s">
        <v>80</v>
      </c>
      <c r="G110" s="42" t="s">
        <v>81</v>
      </c>
      <c r="H110" s="42" t="s">
        <v>405</v>
      </c>
      <c r="J110" s="125">
        <v>14.1</v>
      </c>
      <c r="K110" s="42">
        <v>3500.0</v>
      </c>
      <c r="L110" s="42" t="s">
        <v>406</v>
      </c>
      <c r="M110" s="42" t="s">
        <v>406</v>
      </c>
      <c r="N110" s="42" t="s">
        <v>45</v>
      </c>
      <c r="O110" s="127" t="s">
        <v>29</v>
      </c>
      <c r="P110" s="127" t="s">
        <v>407</v>
      </c>
      <c r="Q110" s="42"/>
      <c r="R110" s="128"/>
      <c r="S110" s="42"/>
      <c r="T110" s="42" t="s">
        <v>385</v>
      </c>
    </row>
    <row r="111" ht="14.25" customHeight="1">
      <c r="B111" s="80"/>
      <c r="C111" s="80"/>
      <c r="D111" s="123"/>
      <c r="E111" s="123"/>
      <c r="F111" s="123"/>
      <c r="G111" s="80"/>
      <c r="H111" s="80"/>
      <c r="I111" s="80"/>
      <c r="J111" s="80"/>
      <c r="K111" s="80"/>
      <c r="L111" s="80"/>
      <c r="M111" s="80"/>
      <c r="N111" s="80"/>
      <c r="O111" s="80"/>
      <c r="P111" s="80"/>
      <c r="Q111" s="80"/>
      <c r="R111" s="124"/>
      <c r="S111" s="80"/>
      <c r="T111" s="80"/>
      <c r="U111" s="80"/>
      <c r="V111" s="80"/>
      <c r="W111" s="80"/>
      <c r="X111" s="80"/>
      <c r="Y111" s="80"/>
      <c r="Z111" s="80"/>
      <c r="AA111" s="80"/>
      <c r="AB111" s="80"/>
      <c r="AC111" s="80"/>
      <c r="AD111" s="80"/>
      <c r="AE111" s="80"/>
      <c r="AF111" s="80"/>
      <c r="AG111" s="80"/>
      <c r="AH111" s="80"/>
      <c r="AI111" s="80"/>
      <c r="AJ111" s="80"/>
      <c r="AK111" s="80"/>
    </row>
    <row r="112" ht="14.25" customHeight="1">
      <c r="B112" s="42">
        <v>8.0</v>
      </c>
      <c r="C112" s="42" t="s">
        <v>261</v>
      </c>
      <c r="D112" s="75" t="s">
        <v>408</v>
      </c>
      <c r="E112" s="75" t="s">
        <v>408</v>
      </c>
      <c r="F112" s="121" t="s">
        <v>408</v>
      </c>
      <c r="G112" s="42" t="s">
        <v>409</v>
      </c>
      <c r="H112" s="42" t="s">
        <v>410</v>
      </c>
      <c r="J112" s="125">
        <v>34.6</v>
      </c>
      <c r="K112" s="42">
        <v>6000.0</v>
      </c>
      <c r="L112" s="42" t="s">
        <v>411</v>
      </c>
      <c r="M112" s="42" t="s">
        <v>45</v>
      </c>
      <c r="N112" s="42" t="s">
        <v>412</v>
      </c>
      <c r="O112" s="95" t="s">
        <v>59</v>
      </c>
      <c r="P112" s="95" t="s">
        <v>413</v>
      </c>
      <c r="Q112" s="95" t="s">
        <v>121</v>
      </c>
      <c r="R112" s="126" t="s">
        <v>122</v>
      </c>
      <c r="S112" s="95" t="s">
        <v>108</v>
      </c>
    </row>
    <row r="113" ht="14.25" customHeight="1">
      <c r="B113" s="80"/>
      <c r="C113" s="80"/>
      <c r="D113" s="123"/>
      <c r="E113" s="123"/>
      <c r="F113" s="123"/>
      <c r="G113" s="80"/>
      <c r="H113" s="80"/>
      <c r="I113" s="80"/>
      <c r="J113" s="80"/>
      <c r="K113" s="80"/>
      <c r="L113" s="80"/>
      <c r="M113" s="80"/>
      <c r="N113" s="80"/>
      <c r="O113" s="80"/>
      <c r="P113" s="80"/>
      <c r="Q113" s="80"/>
      <c r="R113" s="124"/>
      <c r="S113" s="80"/>
      <c r="T113" s="80"/>
      <c r="U113" s="80"/>
      <c r="V113" s="80"/>
      <c r="W113" s="80"/>
      <c r="X113" s="80"/>
      <c r="Y113" s="80"/>
      <c r="Z113" s="80"/>
      <c r="AA113" s="80"/>
      <c r="AB113" s="80"/>
      <c r="AC113" s="80"/>
      <c r="AD113" s="80"/>
      <c r="AE113" s="80"/>
      <c r="AF113" s="80"/>
      <c r="AG113" s="80"/>
      <c r="AH113" s="80"/>
      <c r="AI113" s="80"/>
      <c r="AJ113" s="80"/>
      <c r="AK113" s="80"/>
    </row>
    <row r="114" ht="14.25" customHeight="1">
      <c r="B114" s="42">
        <v>9.0</v>
      </c>
      <c r="C114" s="42" t="s">
        <v>325</v>
      </c>
      <c r="D114" s="75" t="s">
        <v>414</v>
      </c>
      <c r="E114" s="75" t="s">
        <v>414</v>
      </c>
      <c r="F114" s="121" t="s">
        <v>327</v>
      </c>
      <c r="G114" s="42" t="s">
        <v>328</v>
      </c>
      <c r="H114" s="42" t="s">
        <v>415</v>
      </c>
      <c r="J114" s="125">
        <v>32.4</v>
      </c>
      <c r="K114" s="42">
        <v>5000.0</v>
      </c>
      <c r="L114" s="42" t="s">
        <v>104</v>
      </c>
      <c r="M114" s="42" t="s">
        <v>90</v>
      </c>
      <c r="N114" s="42" t="s">
        <v>84</v>
      </c>
      <c r="O114" s="95" t="s">
        <v>59</v>
      </c>
      <c r="P114" s="43" t="s">
        <v>300</v>
      </c>
      <c r="Q114" s="95" t="s">
        <v>107</v>
      </c>
      <c r="R114" s="126" t="s">
        <v>61</v>
      </c>
      <c r="S114" s="95" t="s">
        <v>108</v>
      </c>
      <c r="T114" s="42" t="s">
        <v>416</v>
      </c>
    </row>
    <row r="115" ht="14.25" customHeight="1">
      <c r="D115" s="75" t="s">
        <v>414</v>
      </c>
      <c r="E115" s="75" t="s">
        <v>414</v>
      </c>
      <c r="F115" s="121" t="s">
        <v>327</v>
      </c>
      <c r="G115" s="42" t="s">
        <v>165</v>
      </c>
      <c r="H115" s="42" t="s">
        <v>417</v>
      </c>
      <c r="J115" s="125">
        <v>29.3</v>
      </c>
      <c r="K115" s="42">
        <v>6000.0</v>
      </c>
      <c r="O115" s="95" t="s">
        <v>59</v>
      </c>
      <c r="P115" s="43" t="s">
        <v>300</v>
      </c>
      <c r="Q115" s="95" t="s">
        <v>107</v>
      </c>
      <c r="R115" s="126" t="s">
        <v>61</v>
      </c>
      <c r="S115" s="95" t="s">
        <v>108</v>
      </c>
    </row>
    <row r="116" ht="14.25" customHeight="1">
      <c r="B116" s="80"/>
      <c r="C116" s="80"/>
      <c r="D116" s="123"/>
      <c r="E116" s="123"/>
      <c r="F116" s="123"/>
      <c r="G116" s="80"/>
      <c r="H116" s="80"/>
      <c r="I116" s="80"/>
      <c r="J116" s="80"/>
      <c r="K116" s="80"/>
      <c r="L116" s="80"/>
      <c r="M116" s="80"/>
      <c r="N116" s="80"/>
      <c r="O116" s="80"/>
      <c r="P116" s="80"/>
      <c r="Q116" s="80"/>
      <c r="R116" s="124"/>
      <c r="S116" s="80"/>
      <c r="T116" s="80"/>
      <c r="U116" s="80"/>
      <c r="V116" s="80"/>
      <c r="W116" s="80"/>
      <c r="X116" s="80"/>
      <c r="Y116" s="80"/>
      <c r="Z116" s="80"/>
      <c r="AA116" s="80"/>
      <c r="AB116" s="80"/>
      <c r="AC116" s="80"/>
      <c r="AD116" s="80"/>
      <c r="AE116" s="80"/>
      <c r="AF116" s="80"/>
      <c r="AG116" s="80"/>
      <c r="AH116" s="80"/>
      <c r="AI116" s="80"/>
      <c r="AJ116" s="80"/>
      <c r="AK116" s="80"/>
    </row>
    <row r="117" ht="14.25" customHeight="1">
      <c r="B117" s="42">
        <v>10.0</v>
      </c>
      <c r="C117" s="42" t="s">
        <v>418</v>
      </c>
      <c r="D117" s="75" t="s">
        <v>419</v>
      </c>
      <c r="E117" s="75" t="s">
        <v>419</v>
      </c>
      <c r="F117" s="121" t="s">
        <v>419</v>
      </c>
      <c r="G117" s="42" t="s">
        <v>420</v>
      </c>
      <c r="H117" s="42" t="s">
        <v>421</v>
      </c>
      <c r="J117" s="125">
        <v>27.7</v>
      </c>
      <c r="K117" s="42">
        <v>5000.0</v>
      </c>
      <c r="L117" s="42" t="s">
        <v>45</v>
      </c>
      <c r="M117" s="42" t="s">
        <v>412</v>
      </c>
      <c r="N117" s="42" t="s">
        <v>28</v>
      </c>
      <c r="O117" s="95" t="s">
        <v>29</v>
      </c>
      <c r="P117" s="95" t="s">
        <v>30</v>
      </c>
      <c r="Q117" s="95" t="s">
        <v>121</v>
      </c>
      <c r="R117" s="126" t="s">
        <v>122</v>
      </c>
      <c r="S117" s="95" t="s">
        <v>32</v>
      </c>
    </row>
    <row r="118" ht="14.25" customHeight="1">
      <c r="B118" s="80"/>
      <c r="C118" s="80"/>
      <c r="D118" s="123"/>
      <c r="E118" s="123"/>
      <c r="F118" s="123"/>
      <c r="G118" s="80"/>
      <c r="H118" s="80"/>
      <c r="I118" s="80"/>
      <c r="J118" s="80"/>
      <c r="K118" s="80"/>
      <c r="L118" s="80"/>
      <c r="M118" s="80"/>
      <c r="N118" s="80"/>
      <c r="O118" s="80"/>
      <c r="P118" s="80"/>
      <c r="Q118" s="80"/>
      <c r="R118" s="124"/>
      <c r="S118" s="80"/>
      <c r="T118" s="80"/>
      <c r="U118" s="80"/>
      <c r="V118" s="80"/>
      <c r="W118" s="80"/>
      <c r="X118" s="80"/>
      <c r="Y118" s="80"/>
      <c r="Z118" s="80"/>
      <c r="AA118" s="80"/>
      <c r="AB118" s="80"/>
      <c r="AC118" s="80"/>
      <c r="AD118" s="80"/>
      <c r="AE118" s="80"/>
      <c r="AF118" s="80"/>
      <c r="AG118" s="80"/>
      <c r="AH118" s="80"/>
      <c r="AI118" s="80"/>
      <c r="AJ118" s="80"/>
      <c r="AK118" s="80"/>
    </row>
    <row r="119" ht="14.25" customHeight="1">
      <c r="B119" s="42">
        <v>11.0</v>
      </c>
      <c r="C119" s="42" t="s">
        <v>217</v>
      </c>
      <c r="D119" s="75" t="s">
        <v>422</v>
      </c>
      <c r="E119" s="75" t="s">
        <v>422</v>
      </c>
      <c r="F119" s="121" t="s">
        <v>422</v>
      </c>
      <c r="G119" s="42" t="s">
        <v>423</v>
      </c>
      <c r="H119" s="42" t="s">
        <v>424</v>
      </c>
      <c r="J119" s="125">
        <v>12.7</v>
      </c>
      <c r="K119" s="42">
        <v>4000.0</v>
      </c>
      <c r="L119" s="42" t="s">
        <v>331</v>
      </c>
      <c r="M119" s="42" t="s">
        <v>27</v>
      </c>
      <c r="N119" s="42" t="s">
        <v>425</v>
      </c>
      <c r="O119" s="95" t="s">
        <v>29</v>
      </c>
      <c r="P119" s="43" t="s">
        <v>300</v>
      </c>
      <c r="Q119" s="95" t="s">
        <v>107</v>
      </c>
      <c r="R119" s="126"/>
      <c r="S119" s="95" t="s">
        <v>334</v>
      </c>
    </row>
    <row r="120" ht="14.25" customHeight="1">
      <c r="B120" s="80"/>
      <c r="C120" s="80"/>
      <c r="D120" s="123"/>
      <c r="E120" s="123"/>
      <c r="F120" s="123"/>
      <c r="G120" s="80"/>
      <c r="H120" s="80"/>
      <c r="I120" s="80"/>
      <c r="J120" s="80"/>
      <c r="K120" s="80"/>
      <c r="L120" s="80"/>
      <c r="M120" s="80"/>
      <c r="N120" s="80"/>
      <c r="O120" s="80"/>
      <c r="P120" s="80"/>
      <c r="Q120" s="80"/>
      <c r="R120" s="124"/>
      <c r="S120" s="80"/>
      <c r="T120" s="80"/>
      <c r="U120" s="80"/>
      <c r="V120" s="80"/>
      <c r="W120" s="80"/>
      <c r="X120" s="80"/>
      <c r="Y120" s="80"/>
      <c r="Z120" s="80"/>
      <c r="AA120" s="80"/>
      <c r="AB120" s="80"/>
      <c r="AC120" s="80"/>
      <c r="AD120" s="80"/>
      <c r="AE120" s="80"/>
      <c r="AF120" s="80"/>
      <c r="AG120" s="80"/>
      <c r="AH120" s="80"/>
      <c r="AI120" s="80"/>
      <c r="AJ120" s="80"/>
      <c r="AK120" s="80"/>
    </row>
    <row r="121" ht="14.25" customHeight="1">
      <c r="B121" s="42">
        <v>12.0</v>
      </c>
      <c r="C121" s="42" t="s">
        <v>426</v>
      </c>
      <c r="D121" s="75" t="s">
        <v>427</v>
      </c>
      <c r="E121" s="75" t="s">
        <v>427</v>
      </c>
      <c r="F121" s="121" t="s">
        <v>427</v>
      </c>
      <c r="G121" s="42" t="s">
        <v>428</v>
      </c>
      <c r="H121" s="42" t="s">
        <v>429</v>
      </c>
      <c r="J121" s="125">
        <v>17.1</v>
      </c>
      <c r="K121" s="42">
        <v>4000.0</v>
      </c>
      <c r="L121" s="42" t="s">
        <v>430</v>
      </c>
      <c r="M121" s="42" t="s">
        <v>73</v>
      </c>
      <c r="N121" s="42" t="s">
        <v>45</v>
      </c>
      <c r="O121" s="95" t="s">
        <v>29</v>
      </c>
      <c r="P121" s="95" t="s">
        <v>431</v>
      </c>
      <c r="R121" s="122"/>
    </row>
    <row r="122" ht="14.25" customHeight="1">
      <c r="D122" s="129"/>
      <c r="E122" s="129"/>
      <c r="F122" s="129"/>
      <c r="G122" s="42"/>
      <c r="R122" s="122"/>
    </row>
    <row r="123" ht="14.25" customHeight="1">
      <c r="D123" s="129"/>
      <c r="E123" s="129"/>
      <c r="F123" s="129"/>
      <c r="G123" s="42"/>
      <c r="R123" s="122"/>
    </row>
    <row r="124" ht="14.25" customHeight="1">
      <c r="D124" s="129"/>
      <c r="E124" s="129"/>
      <c r="F124" s="129"/>
      <c r="R124" s="122"/>
    </row>
    <row r="125" ht="14.25" customHeight="1">
      <c r="D125" s="129"/>
      <c r="E125" s="129"/>
      <c r="F125" s="129"/>
      <c r="R125" s="122"/>
    </row>
    <row r="126" ht="14.25" customHeight="1">
      <c r="D126" s="129"/>
      <c r="E126" s="129"/>
      <c r="F126" s="129"/>
      <c r="R126" s="122"/>
    </row>
    <row r="127" ht="14.25" customHeight="1">
      <c r="D127" s="129"/>
      <c r="E127" s="129"/>
      <c r="F127" s="129"/>
      <c r="R127" s="122"/>
    </row>
    <row r="128" ht="14.25" customHeight="1">
      <c r="D128" s="129"/>
      <c r="E128" s="129"/>
      <c r="F128" s="129"/>
      <c r="R128" s="122"/>
    </row>
    <row r="129" ht="14.25" customHeight="1">
      <c r="D129" s="129"/>
      <c r="E129" s="129"/>
      <c r="F129" s="129"/>
      <c r="R129" s="122"/>
    </row>
    <row r="130" ht="14.25" customHeight="1">
      <c r="D130" s="129"/>
      <c r="E130" s="129"/>
      <c r="F130" s="129"/>
      <c r="R130" s="122"/>
    </row>
    <row r="131" ht="14.25" customHeight="1">
      <c r="D131" s="129"/>
      <c r="E131" s="129"/>
      <c r="F131" s="129"/>
      <c r="R131" s="122"/>
    </row>
    <row r="132" ht="14.25" customHeight="1">
      <c r="D132" s="129"/>
      <c r="E132" s="129"/>
      <c r="F132" s="129"/>
      <c r="R132" s="122"/>
    </row>
    <row r="133" ht="14.25" customHeight="1">
      <c r="D133" s="129"/>
      <c r="E133" s="129"/>
      <c r="F133" s="129"/>
      <c r="R133" s="122"/>
    </row>
    <row r="134" ht="14.25" customHeight="1">
      <c r="D134" s="129"/>
      <c r="E134" s="129"/>
      <c r="F134" s="129"/>
      <c r="R134" s="122"/>
    </row>
    <row r="135" ht="14.25" customHeight="1">
      <c r="D135" s="129"/>
      <c r="E135" s="129"/>
      <c r="F135" s="129"/>
      <c r="R135" s="122"/>
    </row>
    <row r="136" ht="14.25" customHeight="1">
      <c r="D136" s="129"/>
      <c r="E136" s="129"/>
      <c r="F136" s="129"/>
      <c r="R136" s="122"/>
    </row>
    <row r="137" ht="14.25" customHeight="1">
      <c r="D137" s="129"/>
      <c r="E137" s="129"/>
      <c r="F137" s="129"/>
      <c r="R137" s="122"/>
    </row>
    <row r="138" ht="14.25" customHeight="1">
      <c r="D138" s="129"/>
      <c r="E138" s="129"/>
      <c r="F138" s="129"/>
      <c r="R138" s="122"/>
    </row>
    <row r="139" ht="14.25" customHeight="1">
      <c r="D139" s="129"/>
      <c r="E139" s="129"/>
      <c r="F139" s="129"/>
      <c r="R139" s="122"/>
    </row>
    <row r="140" ht="14.25" customHeight="1">
      <c r="D140" s="129"/>
      <c r="E140" s="129"/>
      <c r="F140" s="129"/>
      <c r="R140" s="122"/>
    </row>
    <row r="141" ht="14.25" customHeight="1">
      <c r="D141" s="129"/>
      <c r="E141" s="129"/>
      <c r="F141" s="129"/>
      <c r="R141" s="122"/>
    </row>
    <row r="142" ht="14.25" customHeight="1">
      <c r="D142" s="129"/>
      <c r="E142" s="129"/>
      <c r="F142" s="129"/>
      <c r="R142" s="122"/>
    </row>
    <row r="143" ht="14.25" customHeight="1">
      <c r="D143" s="129"/>
      <c r="E143" s="129"/>
      <c r="F143" s="129"/>
      <c r="R143" s="122"/>
    </row>
    <row r="144" ht="14.25" customHeight="1">
      <c r="D144" s="129"/>
      <c r="E144" s="129"/>
      <c r="F144" s="129"/>
      <c r="R144" s="122"/>
    </row>
    <row r="145" ht="14.25" customHeight="1">
      <c r="D145" s="129"/>
      <c r="E145" s="129"/>
      <c r="F145" s="129"/>
      <c r="R145" s="122"/>
    </row>
    <row r="146" ht="14.25" customHeight="1">
      <c r="D146" s="129"/>
      <c r="E146" s="129"/>
      <c r="F146" s="129"/>
      <c r="R146" s="122"/>
    </row>
    <row r="147" ht="14.25" customHeight="1">
      <c r="D147" s="129"/>
      <c r="E147" s="129"/>
      <c r="F147" s="129"/>
      <c r="R147" s="122"/>
    </row>
    <row r="148" ht="14.25" customHeight="1">
      <c r="D148" s="129"/>
      <c r="E148" s="129"/>
      <c r="F148" s="129"/>
      <c r="R148" s="122"/>
    </row>
    <row r="149" ht="14.25" customHeight="1">
      <c r="D149" s="129"/>
      <c r="E149" s="129"/>
      <c r="F149" s="129"/>
      <c r="R149" s="122"/>
    </row>
    <row r="150" ht="14.25" customHeight="1">
      <c r="D150" s="129"/>
      <c r="E150" s="129"/>
      <c r="F150" s="129"/>
      <c r="R150" s="122"/>
    </row>
    <row r="151" ht="14.25" customHeight="1">
      <c r="D151" s="129"/>
      <c r="E151" s="129"/>
      <c r="F151" s="129"/>
      <c r="R151" s="122"/>
    </row>
    <row r="152" ht="14.25" customHeight="1">
      <c r="D152" s="129"/>
      <c r="E152" s="129"/>
      <c r="F152" s="129"/>
      <c r="R152" s="122"/>
    </row>
    <row r="153" ht="14.25" customHeight="1">
      <c r="D153" s="129"/>
      <c r="E153" s="129"/>
      <c r="F153" s="129"/>
      <c r="R153" s="122"/>
    </row>
    <row r="154" ht="14.25" customHeight="1">
      <c r="D154" s="129"/>
      <c r="E154" s="129"/>
      <c r="F154" s="129"/>
      <c r="R154" s="122"/>
    </row>
    <row r="155" ht="14.25" customHeight="1">
      <c r="D155" s="129"/>
      <c r="E155" s="129"/>
      <c r="F155" s="129"/>
      <c r="R155" s="122"/>
    </row>
    <row r="156" ht="14.25" customHeight="1">
      <c r="D156" s="129"/>
      <c r="E156" s="129"/>
      <c r="F156" s="129"/>
      <c r="R156" s="122"/>
    </row>
    <row r="157" ht="14.25" customHeight="1">
      <c r="D157" s="129"/>
      <c r="E157" s="129"/>
      <c r="F157" s="129"/>
      <c r="R157" s="122"/>
    </row>
    <row r="158" ht="14.25" customHeight="1">
      <c r="D158" s="129"/>
      <c r="E158" s="129"/>
      <c r="F158" s="129"/>
      <c r="R158" s="122"/>
    </row>
    <row r="159" ht="14.25" customHeight="1">
      <c r="D159" s="129"/>
      <c r="E159" s="129"/>
      <c r="F159" s="129"/>
      <c r="R159" s="122"/>
    </row>
    <row r="160" ht="14.25" customHeight="1">
      <c r="D160" s="129"/>
      <c r="E160" s="129"/>
      <c r="F160" s="129"/>
      <c r="R160" s="122"/>
    </row>
    <row r="161" ht="14.25" customHeight="1">
      <c r="D161" s="129"/>
      <c r="E161" s="129"/>
      <c r="F161" s="129"/>
      <c r="R161" s="122"/>
    </row>
    <row r="162" ht="14.25" customHeight="1">
      <c r="D162" s="129"/>
      <c r="E162" s="129"/>
      <c r="F162" s="129"/>
      <c r="R162" s="122"/>
    </row>
    <row r="163" ht="14.25" customHeight="1">
      <c r="D163" s="129"/>
      <c r="E163" s="129"/>
      <c r="F163" s="129"/>
      <c r="R163" s="122"/>
    </row>
    <row r="164" ht="14.25" customHeight="1">
      <c r="D164" s="129"/>
      <c r="E164" s="129"/>
      <c r="F164" s="129"/>
      <c r="R164" s="122"/>
    </row>
    <row r="165" ht="14.25" customHeight="1">
      <c r="D165" s="129"/>
      <c r="E165" s="129"/>
      <c r="F165" s="129"/>
      <c r="R165" s="122"/>
    </row>
    <row r="166" ht="14.25" customHeight="1">
      <c r="D166" s="129"/>
      <c r="E166" s="129"/>
      <c r="F166" s="129"/>
      <c r="R166" s="122"/>
    </row>
    <row r="167" ht="14.25" customHeight="1">
      <c r="D167" s="129"/>
      <c r="E167" s="129"/>
      <c r="F167" s="129"/>
      <c r="R167" s="122"/>
    </row>
    <row r="168" ht="14.25" customHeight="1">
      <c r="D168" s="129"/>
      <c r="E168" s="129"/>
      <c r="F168" s="129"/>
      <c r="R168" s="122"/>
    </row>
    <row r="169" ht="14.25" customHeight="1">
      <c r="D169" s="129"/>
      <c r="E169" s="129"/>
      <c r="F169" s="129"/>
      <c r="R169" s="122"/>
    </row>
    <row r="170" ht="14.25" customHeight="1">
      <c r="D170" s="129"/>
      <c r="E170" s="129"/>
      <c r="F170" s="129"/>
      <c r="R170" s="122"/>
    </row>
    <row r="171" ht="14.25" customHeight="1">
      <c r="D171" s="129"/>
      <c r="E171" s="129"/>
      <c r="F171" s="129"/>
      <c r="R171" s="122"/>
    </row>
    <row r="172" ht="14.25" customHeight="1">
      <c r="D172" s="129"/>
      <c r="E172" s="129"/>
      <c r="F172" s="129"/>
      <c r="R172" s="122"/>
    </row>
    <row r="173" ht="14.25" customHeight="1">
      <c r="D173" s="129"/>
      <c r="E173" s="129"/>
      <c r="F173" s="129"/>
      <c r="R173" s="122"/>
    </row>
    <row r="174" ht="14.25" customHeight="1">
      <c r="D174" s="129"/>
      <c r="E174" s="129"/>
      <c r="F174" s="129"/>
      <c r="R174" s="122"/>
    </row>
    <row r="175" ht="14.25" customHeight="1">
      <c r="D175" s="129"/>
      <c r="E175" s="129"/>
      <c r="F175" s="129"/>
      <c r="R175" s="122"/>
    </row>
    <row r="176" ht="14.25" customHeight="1">
      <c r="D176" s="129"/>
      <c r="E176" s="129"/>
      <c r="F176" s="129"/>
      <c r="R176" s="122"/>
    </row>
    <row r="177" ht="14.25" customHeight="1">
      <c r="D177" s="129"/>
      <c r="E177" s="129"/>
      <c r="F177" s="129"/>
      <c r="R177" s="122"/>
    </row>
    <row r="178" ht="14.25" customHeight="1">
      <c r="D178" s="129"/>
      <c r="E178" s="129"/>
      <c r="F178" s="129"/>
      <c r="R178" s="122"/>
    </row>
    <row r="179" ht="14.25" customHeight="1">
      <c r="D179" s="129"/>
      <c r="E179" s="129"/>
      <c r="F179" s="129"/>
      <c r="R179" s="122"/>
    </row>
    <row r="180" ht="14.25" customHeight="1">
      <c r="D180" s="129"/>
      <c r="E180" s="129"/>
      <c r="F180" s="129"/>
      <c r="R180" s="122"/>
    </row>
    <row r="181" ht="14.25" customHeight="1">
      <c r="D181" s="129"/>
      <c r="E181" s="129"/>
      <c r="F181" s="129"/>
      <c r="R181" s="122"/>
    </row>
    <row r="182" ht="14.25" customHeight="1">
      <c r="D182" s="129"/>
      <c r="E182" s="129"/>
      <c r="F182" s="129"/>
      <c r="R182" s="122"/>
    </row>
    <row r="183" ht="14.25" customHeight="1">
      <c r="D183" s="129"/>
      <c r="E183" s="129"/>
      <c r="F183" s="129"/>
      <c r="R183" s="122"/>
    </row>
    <row r="184" ht="14.25" customHeight="1">
      <c r="D184" s="129"/>
      <c r="E184" s="129"/>
      <c r="F184" s="129"/>
      <c r="R184" s="122"/>
    </row>
    <row r="185" ht="14.25" customHeight="1">
      <c r="D185" s="129"/>
      <c r="E185" s="129"/>
      <c r="F185" s="129"/>
      <c r="R185" s="122"/>
    </row>
    <row r="186" ht="14.25" customHeight="1">
      <c r="D186" s="129"/>
      <c r="E186" s="129"/>
      <c r="F186" s="129"/>
      <c r="R186" s="122"/>
    </row>
    <row r="187" ht="14.25" customHeight="1">
      <c r="D187" s="129"/>
      <c r="E187" s="129"/>
      <c r="F187" s="129"/>
      <c r="R187" s="122"/>
    </row>
    <row r="188" ht="14.25" customHeight="1">
      <c r="D188" s="129"/>
      <c r="E188" s="129"/>
      <c r="F188" s="129"/>
      <c r="R188" s="122"/>
    </row>
    <row r="189" ht="14.25" customHeight="1">
      <c r="D189" s="129"/>
      <c r="E189" s="129"/>
      <c r="F189" s="129"/>
      <c r="R189" s="122"/>
    </row>
    <row r="190" ht="14.25" customHeight="1">
      <c r="D190" s="129"/>
      <c r="E190" s="129"/>
      <c r="F190" s="129"/>
      <c r="R190" s="122"/>
    </row>
    <row r="191" ht="14.25" customHeight="1">
      <c r="D191" s="129"/>
      <c r="E191" s="129"/>
      <c r="F191" s="129"/>
      <c r="R191" s="122"/>
    </row>
    <row r="192" ht="14.25" customHeight="1">
      <c r="D192" s="129"/>
      <c r="E192" s="129"/>
      <c r="F192" s="129"/>
      <c r="R192" s="122"/>
    </row>
    <row r="193" ht="14.25" customHeight="1">
      <c r="D193" s="129"/>
      <c r="E193" s="129"/>
      <c r="F193" s="129"/>
      <c r="R193" s="122"/>
    </row>
    <row r="194" ht="14.25" customHeight="1">
      <c r="D194" s="129"/>
      <c r="E194" s="129"/>
      <c r="F194" s="129"/>
      <c r="R194" s="122"/>
    </row>
    <row r="195" ht="14.25" customHeight="1">
      <c r="D195" s="129"/>
      <c r="E195" s="129"/>
      <c r="F195" s="129"/>
      <c r="R195" s="122"/>
    </row>
    <row r="196" ht="14.25" customHeight="1">
      <c r="D196" s="129"/>
      <c r="E196" s="129"/>
      <c r="F196" s="129"/>
      <c r="R196" s="122"/>
    </row>
    <row r="197" ht="14.25" customHeight="1">
      <c r="D197" s="129"/>
      <c r="E197" s="129"/>
      <c r="F197" s="129"/>
      <c r="R197" s="122"/>
    </row>
    <row r="198" ht="14.25" customHeight="1">
      <c r="D198" s="129"/>
      <c r="E198" s="129"/>
      <c r="F198" s="129"/>
      <c r="R198" s="122"/>
    </row>
    <row r="199" ht="14.25" customHeight="1">
      <c r="D199" s="129"/>
      <c r="E199" s="129"/>
      <c r="F199" s="129"/>
      <c r="R199" s="122"/>
    </row>
    <row r="200" ht="14.25" customHeight="1">
      <c r="D200" s="129"/>
      <c r="E200" s="129"/>
      <c r="F200" s="129"/>
      <c r="R200" s="122"/>
    </row>
    <row r="201" ht="14.25" customHeight="1">
      <c r="D201" s="129"/>
      <c r="E201" s="129"/>
      <c r="F201" s="129"/>
      <c r="R201" s="122"/>
    </row>
    <row r="202" ht="14.25" customHeight="1">
      <c r="D202" s="129"/>
      <c r="E202" s="129"/>
      <c r="F202" s="129"/>
      <c r="R202" s="122"/>
    </row>
    <row r="203" ht="14.25" customHeight="1">
      <c r="D203" s="129"/>
      <c r="E203" s="129"/>
      <c r="F203" s="129"/>
      <c r="R203" s="122"/>
    </row>
    <row r="204" ht="14.25" customHeight="1">
      <c r="D204" s="129"/>
      <c r="E204" s="129"/>
      <c r="F204" s="129"/>
      <c r="R204" s="122"/>
    </row>
    <row r="205" ht="14.25" customHeight="1">
      <c r="D205" s="129"/>
      <c r="E205" s="129"/>
      <c r="F205" s="129"/>
      <c r="R205" s="122"/>
    </row>
    <row r="206" ht="14.25" customHeight="1">
      <c r="D206" s="129"/>
      <c r="E206" s="129"/>
      <c r="F206" s="129"/>
      <c r="R206" s="122"/>
    </row>
    <row r="207" ht="14.25" customHeight="1">
      <c r="D207" s="129"/>
      <c r="E207" s="129"/>
      <c r="F207" s="129"/>
      <c r="R207" s="122"/>
    </row>
    <row r="208" ht="14.25" customHeight="1">
      <c r="D208" s="129"/>
      <c r="E208" s="129"/>
      <c r="F208" s="129"/>
      <c r="R208" s="122"/>
    </row>
    <row r="209" ht="14.25" customHeight="1">
      <c r="D209" s="129"/>
      <c r="E209" s="129"/>
      <c r="F209" s="129"/>
      <c r="R209" s="122"/>
    </row>
    <row r="210" ht="14.25" customHeight="1">
      <c r="D210" s="129"/>
      <c r="E210" s="129"/>
      <c r="F210" s="129"/>
      <c r="R210" s="122"/>
    </row>
    <row r="211" ht="14.25" customHeight="1">
      <c r="D211" s="129"/>
      <c r="E211" s="129"/>
      <c r="F211" s="129"/>
      <c r="R211" s="122"/>
    </row>
    <row r="212" ht="14.25" customHeight="1">
      <c r="D212" s="129"/>
      <c r="E212" s="129"/>
      <c r="F212" s="129"/>
      <c r="R212" s="122"/>
    </row>
    <row r="213" ht="14.25" customHeight="1">
      <c r="D213" s="129"/>
      <c r="E213" s="129"/>
      <c r="F213" s="129"/>
      <c r="R213" s="122"/>
    </row>
    <row r="214" ht="14.25" customHeight="1">
      <c r="D214" s="129"/>
      <c r="E214" s="129"/>
      <c r="F214" s="129"/>
      <c r="R214" s="122"/>
    </row>
    <row r="215" ht="14.25" customHeight="1">
      <c r="D215" s="129"/>
      <c r="E215" s="129"/>
      <c r="F215" s="129"/>
      <c r="R215" s="122"/>
    </row>
    <row r="216" ht="14.25" customHeight="1">
      <c r="D216" s="129"/>
      <c r="E216" s="129"/>
      <c r="F216" s="129"/>
      <c r="R216" s="122"/>
    </row>
    <row r="217" ht="14.25" customHeight="1">
      <c r="D217" s="129"/>
      <c r="E217" s="129"/>
      <c r="F217" s="129"/>
      <c r="R217" s="122"/>
    </row>
    <row r="218" ht="14.25" customHeight="1">
      <c r="D218" s="129"/>
      <c r="E218" s="129"/>
      <c r="F218" s="129"/>
      <c r="R218" s="122"/>
    </row>
    <row r="219" ht="14.25" customHeight="1">
      <c r="D219" s="129"/>
      <c r="E219" s="129"/>
      <c r="F219" s="129"/>
      <c r="R219" s="122"/>
    </row>
    <row r="220" ht="14.25" customHeight="1">
      <c r="D220" s="129"/>
      <c r="E220" s="129"/>
      <c r="F220" s="129"/>
      <c r="R220" s="122"/>
    </row>
    <row r="221" ht="14.25" customHeight="1">
      <c r="D221" s="129"/>
      <c r="E221" s="129"/>
      <c r="F221" s="129"/>
      <c r="R221" s="122"/>
    </row>
    <row r="222" ht="14.25" customHeight="1">
      <c r="D222" s="129"/>
      <c r="E222" s="129"/>
      <c r="F222" s="129"/>
      <c r="R222" s="122"/>
    </row>
    <row r="223" ht="14.25" customHeight="1">
      <c r="D223" s="129"/>
      <c r="E223" s="129"/>
      <c r="F223" s="129"/>
      <c r="R223" s="122"/>
    </row>
    <row r="224" ht="14.25" customHeight="1">
      <c r="D224" s="129"/>
      <c r="E224" s="129"/>
      <c r="F224" s="129"/>
      <c r="R224" s="122"/>
    </row>
    <row r="225" ht="14.25" customHeight="1">
      <c r="D225" s="129"/>
      <c r="E225" s="129"/>
      <c r="F225" s="129"/>
      <c r="R225" s="122"/>
    </row>
    <row r="226" ht="14.25" customHeight="1">
      <c r="D226" s="129"/>
      <c r="E226" s="129"/>
      <c r="F226" s="129"/>
      <c r="R226" s="122"/>
    </row>
    <row r="227" ht="14.25" customHeight="1">
      <c r="D227" s="129"/>
      <c r="E227" s="129"/>
      <c r="F227" s="129"/>
      <c r="R227" s="122"/>
    </row>
    <row r="228" ht="14.25" customHeight="1">
      <c r="D228" s="129"/>
      <c r="E228" s="129"/>
      <c r="F228" s="129"/>
      <c r="R228" s="122"/>
    </row>
    <row r="229" ht="14.25" customHeight="1">
      <c r="D229" s="129"/>
      <c r="E229" s="129"/>
      <c r="F229" s="129"/>
      <c r="R229" s="122"/>
    </row>
    <row r="230" ht="14.25" customHeight="1">
      <c r="D230" s="129"/>
      <c r="E230" s="129"/>
      <c r="F230" s="129"/>
      <c r="R230" s="122"/>
    </row>
    <row r="231" ht="14.25" customHeight="1">
      <c r="D231" s="129"/>
      <c r="E231" s="129"/>
      <c r="F231" s="129"/>
      <c r="R231" s="122"/>
    </row>
    <row r="232" ht="14.25" customHeight="1">
      <c r="D232" s="129"/>
      <c r="E232" s="129"/>
      <c r="F232" s="129"/>
      <c r="R232" s="122"/>
    </row>
    <row r="233" ht="14.25" customHeight="1">
      <c r="D233" s="129"/>
      <c r="E233" s="129"/>
      <c r="F233" s="129"/>
      <c r="R233" s="122"/>
    </row>
    <row r="234" ht="14.25" customHeight="1">
      <c r="D234" s="129"/>
      <c r="E234" s="129"/>
      <c r="F234" s="129"/>
      <c r="R234" s="122"/>
    </row>
    <row r="235" ht="14.25" customHeight="1">
      <c r="D235" s="129"/>
      <c r="E235" s="129"/>
      <c r="F235" s="129"/>
      <c r="R235" s="122"/>
    </row>
    <row r="236" ht="14.25" customHeight="1">
      <c r="D236" s="129"/>
      <c r="E236" s="129"/>
      <c r="F236" s="129"/>
      <c r="R236" s="122"/>
    </row>
    <row r="237" ht="14.25" customHeight="1">
      <c r="D237" s="129"/>
      <c r="E237" s="129"/>
      <c r="F237" s="129"/>
      <c r="R237" s="122"/>
    </row>
    <row r="238" ht="14.25" customHeight="1">
      <c r="D238" s="129"/>
      <c r="E238" s="129"/>
      <c r="F238" s="129"/>
      <c r="R238" s="122"/>
    </row>
    <row r="239" ht="14.25" customHeight="1">
      <c r="D239" s="129"/>
      <c r="E239" s="129"/>
      <c r="F239" s="129"/>
      <c r="R239" s="122"/>
    </row>
    <row r="240" ht="14.25" customHeight="1">
      <c r="D240" s="129"/>
      <c r="E240" s="129"/>
      <c r="F240" s="129"/>
      <c r="R240" s="122"/>
    </row>
    <row r="241" ht="14.25" customHeight="1">
      <c r="D241" s="129"/>
      <c r="E241" s="129"/>
      <c r="F241" s="129"/>
      <c r="R241" s="122"/>
    </row>
    <row r="242" ht="14.25" customHeight="1">
      <c r="D242" s="129"/>
      <c r="E242" s="129"/>
      <c r="F242" s="129"/>
      <c r="R242" s="122"/>
    </row>
    <row r="243" ht="14.25" customHeight="1">
      <c r="D243" s="129"/>
      <c r="E243" s="129"/>
      <c r="F243" s="129"/>
      <c r="R243" s="122"/>
    </row>
    <row r="244" ht="14.25" customHeight="1">
      <c r="D244" s="129"/>
      <c r="E244" s="129"/>
      <c r="F244" s="129"/>
      <c r="R244" s="122"/>
    </row>
    <row r="245" ht="14.25" customHeight="1">
      <c r="D245" s="129"/>
      <c r="E245" s="129"/>
      <c r="F245" s="129"/>
      <c r="R245" s="122"/>
    </row>
    <row r="246" ht="14.25" customHeight="1">
      <c r="D246" s="129"/>
      <c r="E246" s="129"/>
      <c r="F246" s="129"/>
      <c r="R246" s="122"/>
    </row>
    <row r="247" ht="14.25" customHeight="1">
      <c r="D247" s="129"/>
      <c r="E247" s="129"/>
      <c r="F247" s="129"/>
      <c r="R247" s="122"/>
    </row>
    <row r="248" ht="14.25" customHeight="1">
      <c r="D248" s="129"/>
      <c r="E248" s="129"/>
      <c r="F248" s="129"/>
      <c r="R248" s="122"/>
    </row>
    <row r="249" ht="14.25" customHeight="1">
      <c r="D249" s="129"/>
      <c r="E249" s="129"/>
      <c r="F249" s="129"/>
      <c r="R249" s="122"/>
    </row>
    <row r="250" ht="14.25" customHeight="1">
      <c r="D250" s="129"/>
      <c r="E250" s="129"/>
      <c r="F250" s="129"/>
      <c r="R250" s="122"/>
    </row>
    <row r="251" ht="14.25" customHeight="1">
      <c r="D251" s="129"/>
      <c r="E251" s="129"/>
      <c r="F251" s="129"/>
      <c r="R251" s="122"/>
    </row>
    <row r="252" ht="14.25" customHeight="1">
      <c r="D252" s="129"/>
      <c r="E252" s="129"/>
      <c r="F252" s="129"/>
      <c r="R252" s="122"/>
    </row>
    <row r="253" ht="14.25" customHeight="1">
      <c r="D253" s="129"/>
      <c r="E253" s="129"/>
      <c r="F253" s="129"/>
      <c r="R253" s="122"/>
    </row>
    <row r="254" ht="14.25" customHeight="1">
      <c r="D254" s="129"/>
      <c r="E254" s="129"/>
      <c r="F254" s="129"/>
      <c r="R254" s="122"/>
    </row>
    <row r="255" ht="14.25" customHeight="1">
      <c r="D255" s="129"/>
      <c r="E255" s="129"/>
      <c r="F255" s="129"/>
      <c r="R255" s="122"/>
    </row>
    <row r="256" ht="14.25" customHeight="1">
      <c r="D256" s="129"/>
      <c r="E256" s="129"/>
      <c r="F256" s="129"/>
      <c r="R256" s="122"/>
    </row>
    <row r="257" ht="14.25" customHeight="1">
      <c r="D257" s="129"/>
      <c r="E257" s="129"/>
      <c r="F257" s="129"/>
      <c r="R257" s="122"/>
    </row>
    <row r="258" ht="14.25" customHeight="1">
      <c r="D258" s="129"/>
      <c r="E258" s="129"/>
      <c r="F258" s="129"/>
      <c r="R258" s="122"/>
    </row>
    <row r="259" ht="14.25" customHeight="1">
      <c r="D259" s="129"/>
      <c r="E259" s="129"/>
      <c r="F259" s="129"/>
      <c r="R259" s="122"/>
    </row>
    <row r="260" ht="14.25" customHeight="1">
      <c r="D260" s="129"/>
      <c r="E260" s="129"/>
      <c r="F260" s="129"/>
      <c r="R260" s="122"/>
    </row>
    <row r="261" ht="14.25" customHeight="1">
      <c r="D261" s="129"/>
      <c r="E261" s="129"/>
      <c r="F261" s="129"/>
      <c r="R261" s="122"/>
    </row>
    <row r="262" ht="14.25" customHeight="1">
      <c r="D262" s="129"/>
      <c r="E262" s="129"/>
      <c r="F262" s="129"/>
      <c r="R262" s="122"/>
    </row>
    <row r="263" ht="14.25" customHeight="1">
      <c r="D263" s="129"/>
      <c r="E263" s="129"/>
      <c r="F263" s="129"/>
      <c r="R263" s="122"/>
    </row>
    <row r="264" ht="14.25" customHeight="1">
      <c r="D264" s="129"/>
      <c r="E264" s="129"/>
      <c r="F264" s="129"/>
      <c r="R264" s="122"/>
    </row>
    <row r="265" ht="14.25" customHeight="1">
      <c r="D265" s="129"/>
      <c r="E265" s="129"/>
      <c r="F265" s="129"/>
      <c r="R265" s="122"/>
    </row>
    <row r="266" ht="14.25" customHeight="1">
      <c r="D266" s="129"/>
      <c r="E266" s="129"/>
      <c r="F266" s="129"/>
      <c r="R266" s="122"/>
    </row>
    <row r="267" ht="14.25" customHeight="1">
      <c r="D267" s="129"/>
      <c r="E267" s="129"/>
      <c r="F267" s="129"/>
      <c r="R267" s="122"/>
    </row>
    <row r="268" ht="14.25" customHeight="1">
      <c r="D268" s="129"/>
      <c r="E268" s="129"/>
      <c r="F268" s="129"/>
      <c r="R268" s="122"/>
    </row>
    <row r="269" ht="14.25" customHeight="1">
      <c r="D269" s="129"/>
      <c r="E269" s="129"/>
      <c r="F269" s="129"/>
      <c r="R269" s="122"/>
    </row>
    <row r="270" ht="14.25" customHeight="1">
      <c r="D270" s="129"/>
      <c r="E270" s="129"/>
      <c r="F270" s="129"/>
      <c r="R270" s="122"/>
    </row>
    <row r="271" ht="14.25" customHeight="1">
      <c r="D271" s="129"/>
      <c r="E271" s="129"/>
      <c r="F271" s="129"/>
      <c r="R271" s="122"/>
    </row>
    <row r="272" ht="14.25" customHeight="1">
      <c r="D272" s="129"/>
      <c r="E272" s="129"/>
      <c r="F272" s="129"/>
      <c r="R272" s="122"/>
    </row>
    <row r="273" ht="14.25" customHeight="1">
      <c r="D273" s="129"/>
      <c r="E273" s="129"/>
      <c r="F273" s="129"/>
      <c r="R273" s="122"/>
    </row>
    <row r="274" ht="14.25" customHeight="1">
      <c r="D274" s="129"/>
      <c r="E274" s="129"/>
      <c r="F274" s="129"/>
      <c r="R274" s="122"/>
    </row>
    <row r="275" ht="14.25" customHeight="1">
      <c r="D275" s="129"/>
      <c r="E275" s="129"/>
      <c r="F275" s="129"/>
      <c r="R275" s="122"/>
    </row>
    <row r="276" ht="14.25" customHeight="1">
      <c r="D276" s="129"/>
      <c r="E276" s="129"/>
      <c r="F276" s="129"/>
      <c r="R276" s="122"/>
    </row>
    <row r="277" ht="14.25" customHeight="1">
      <c r="D277" s="129"/>
      <c r="E277" s="129"/>
      <c r="F277" s="129"/>
      <c r="R277" s="122"/>
    </row>
    <row r="278" ht="14.25" customHeight="1">
      <c r="D278" s="129"/>
      <c r="E278" s="129"/>
      <c r="F278" s="129"/>
      <c r="R278" s="122"/>
    </row>
    <row r="279" ht="14.25" customHeight="1">
      <c r="D279" s="129"/>
      <c r="E279" s="129"/>
      <c r="F279" s="129"/>
      <c r="R279" s="122"/>
    </row>
    <row r="280" ht="14.25" customHeight="1">
      <c r="D280" s="129"/>
      <c r="E280" s="129"/>
      <c r="F280" s="129"/>
      <c r="R280" s="122"/>
    </row>
    <row r="281" ht="14.25" customHeight="1">
      <c r="D281" s="129"/>
      <c r="E281" s="129"/>
      <c r="F281" s="129"/>
      <c r="R281" s="122"/>
    </row>
    <row r="282" ht="14.25" customHeight="1">
      <c r="D282" s="129"/>
      <c r="E282" s="129"/>
      <c r="F282" s="129"/>
      <c r="R282" s="122"/>
    </row>
    <row r="283" ht="14.25" customHeight="1">
      <c r="D283" s="129"/>
      <c r="E283" s="129"/>
      <c r="F283" s="129"/>
      <c r="R283" s="122"/>
    </row>
    <row r="284" ht="14.25" customHeight="1">
      <c r="D284" s="129"/>
      <c r="E284" s="129"/>
      <c r="F284" s="129"/>
      <c r="R284" s="122"/>
    </row>
    <row r="285" ht="14.25" customHeight="1">
      <c r="D285" s="129"/>
      <c r="E285" s="129"/>
      <c r="F285" s="129"/>
      <c r="R285" s="122"/>
    </row>
    <row r="286" ht="14.25" customHeight="1">
      <c r="D286" s="129"/>
      <c r="E286" s="129"/>
      <c r="F286" s="129"/>
      <c r="R286" s="122"/>
    </row>
    <row r="287" ht="14.25" customHeight="1">
      <c r="D287" s="129"/>
      <c r="E287" s="129"/>
      <c r="F287" s="129"/>
      <c r="R287" s="122"/>
    </row>
    <row r="288" ht="14.25" customHeight="1">
      <c r="D288" s="129"/>
      <c r="E288" s="129"/>
      <c r="F288" s="129"/>
      <c r="R288" s="122"/>
    </row>
    <row r="289" ht="14.25" customHeight="1">
      <c r="D289" s="129"/>
      <c r="E289" s="129"/>
      <c r="F289" s="129"/>
      <c r="R289" s="122"/>
    </row>
    <row r="290" ht="14.25" customHeight="1">
      <c r="D290" s="129"/>
      <c r="E290" s="129"/>
      <c r="F290" s="129"/>
      <c r="R290" s="122"/>
    </row>
    <row r="291" ht="14.25" customHeight="1">
      <c r="D291" s="129"/>
      <c r="E291" s="129"/>
      <c r="F291" s="129"/>
      <c r="R291" s="122"/>
    </row>
    <row r="292" ht="14.25" customHeight="1">
      <c r="D292" s="129"/>
      <c r="E292" s="129"/>
      <c r="F292" s="129"/>
      <c r="R292" s="122"/>
    </row>
    <row r="293" ht="14.25" customHeight="1">
      <c r="D293" s="129"/>
      <c r="E293" s="129"/>
      <c r="F293" s="129"/>
      <c r="R293" s="122"/>
    </row>
    <row r="294" ht="14.25" customHeight="1">
      <c r="D294" s="129"/>
      <c r="E294" s="129"/>
      <c r="F294" s="129"/>
      <c r="R294" s="122"/>
    </row>
    <row r="295" ht="14.25" customHeight="1">
      <c r="D295" s="129"/>
      <c r="E295" s="129"/>
      <c r="F295" s="129"/>
      <c r="R295" s="122"/>
    </row>
    <row r="296" ht="14.25" customHeight="1">
      <c r="D296" s="129"/>
      <c r="E296" s="129"/>
      <c r="F296" s="129"/>
      <c r="R296" s="122"/>
    </row>
    <row r="297" ht="14.25" customHeight="1">
      <c r="D297" s="129"/>
      <c r="E297" s="129"/>
      <c r="F297" s="129"/>
      <c r="R297" s="122"/>
    </row>
    <row r="298" ht="14.25" customHeight="1">
      <c r="D298" s="129"/>
      <c r="E298" s="129"/>
      <c r="F298" s="129"/>
      <c r="R298" s="122"/>
    </row>
    <row r="299" ht="14.25" customHeight="1">
      <c r="D299" s="129"/>
      <c r="E299" s="129"/>
      <c r="F299" s="129"/>
      <c r="R299" s="122"/>
    </row>
    <row r="300" ht="14.25" customHeight="1">
      <c r="D300" s="129"/>
      <c r="E300" s="129"/>
      <c r="F300" s="129"/>
      <c r="R300" s="122"/>
    </row>
    <row r="301" ht="14.25" customHeight="1">
      <c r="D301" s="129"/>
      <c r="E301" s="129"/>
      <c r="F301" s="129"/>
      <c r="R301" s="122"/>
    </row>
    <row r="302" ht="14.25" customHeight="1">
      <c r="D302" s="129"/>
      <c r="E302" s="129"/>
      <c r="F302" s="129"/>
      <c r="R302" s="122"/>
    </row>
    <row r="303" ht="14.25" customHeight="1">
      <c r="D303" s="129"/>
      <c r="E303" s="129"/>
      <c r="F303" s="129"/>
      <c r="R303" s="122"/>
    </row>
    <row r="304" ht="14.25" customHeight="1">
      <c r="D304" s="129"/>
      <c r="E304" s="129"/>
      <c r="F304" s="129"/>
      <c r="R304" s="122"/>
    </row>
    <row r="305" ht="14.25" customHeight="1">
      <c r="D305" s="129"/>
      <c r="E305" s="129"/>
      <c r="F305" s="129"/>
      <c r="R305" s="122"/>
    </row>
    <row r="306" ht="14.25" customHeight="1">
      <c r="D306" s="129"/>
      <c r="E306" s="129"/>
      <c r="F306" s="129"/>
      <c r="R306" s="122"/>
    </row>
    <row r="307" ht="14.25" customHeight="1">
      <c r="D307" s="129"/>
      <c r="E307" s="129"/>
      <c r="F307" s="129"/>
      <c r="R307" s="122"/>
    </row>
    <row r="308" ht="14.25" customHeight="1">
      <c r="D308" s="129"/>
      <c r="E308" s="129"/>
      <c r="F308" s="129"/>
      <c r="R308" s="122"/>
    </row>
    <row r="309" ht="14.25" customHeight="1">
      <c r="D309" s="129"/>
      <c r="E309" s="129"/>
      <c r="F309" s="129"/>
      <c r="R309" s="122"/>
    </row>
    <row r="310" ht="14.25" customHeight="1">
      <c r="D310" s="129"/>
      <c r="E310" s="129"/>
      <c r="F310" s="129"/>
      <c r="R310" s="122"/>
    </row>
    <row r="311" ht="14.25" customHeight="1">
      <c r="D311" s="129"/>
      <c r="E311" s="129"/>
      <c r="F311" s="129"/>
      <c r="R311" s="122"/>
    </row>
    <row r="312" ht="14.25" customHeight="1">
      <c r="D312" s="129"/>
      <c r="E312" s="129"/>
      <c r="F312" s="129"/>
      <c r="R312" s="122"/>
    </row>
    <row r="313" ht="14.25" customHeight="1">
      <c r="D313" s="129"/>
      <c r="E313" s="129"/>
      <c r="F313" s="129"/>
      <c r="R313" s="122"/>
    </row>
    <row r="314" ht="14.25" customHeight="1">
      <c r="D314" s="129"/>
      <c r="E314" s="129"/>
      <c r="F314" s="129"/>
      <c r="R314" s="122"/>
    </row>
    <row r="315" ht="14.25" customHeight="1">
      <c r="D315" s="129"/>
      <c r="E315" s="129"/>
      <c r="F315" s="129"/>
      <c r="R315" s="122"/>
    </row>
    <row r="316" ht="14.25" customHeight="1">
      <c r="D316" s="129"/>
      <c r="E316" s="129"/>
      <c r="F316" s="129"/>
      <c r="R316" s="122"/>
    </row>
    <row r="317" ht="14.25" customHeight="1">
      <c r="D317" s="129"/>
      <c r="E317" s="129"/>
      <c r="F317" s="129"/>
      <c r="R317" s="122"/>
    </row>
    <row r="318" ht="14.25" customHeight="1">
      <c r="D318" s="129"/>
      <c r="E318" s="129"/>
      <c r="F318" s="129"/>
      <c r="R318" s="122"/>
    </row>
    <row r="319" ht="14.25" customHeight="1">
      <c r="D319" s="129"/>
      <c r="E319" s="129"/>
      <c r="F319" s="129"/>
      <c r="R319" s="122"/>
    </row>
    <row r="320" ht="14.25" customHeight="1">
      <c r="D320" s="129"/>
      <c r="E320" s="129"/>
      <c r="F320" s="129"/>
      <c r="R320" s="122"/>
    </row>
    <row r="321" ht="14.25" customHeight="1">
      <c r="D321" s="129"/>
      <c r="E321" s="129"/>
      <c r="F321" s="129"/>
      <c r="R321" s="122"/>
    </row>
    <row r="322" ht="14.25" customHeight="1">
      <c r="D322" s="129"/>
      <c r="E322" s="129"/>
      <c r="F322" s="129"/>
      <c r="R322" s="122"/>
    </row>
    <row r="323" ht="14.25" customHeight="1">
      <c r="D323" s="129"/>
      <c r="E323" s="129"/>
      <c r="F323" s="129"/>
      <c r="R323" s="122"/>
    </row>
    <row r="324" ht="14.25" customHeight="1">
      <c r="D324" s="129"/>
      <c r="E324" s="129"/>
      <c r="F324" s="129"/>
      <c r="R324" s="122"/>
    </row>
    <row r="325" ht="14.25" customHeight="1">
      <c r="D325" s="129"/>
      <c r="E325" s="129"/>
      <c r="F325" s="129"/>
      <c r="R325" s="122"/>
    </row>
    <row r="326" ht="14.25" customHeight="1">
      <c r="D326" s="129"/>
      <c r="E326" s="129"/>
      <c r="F326" s="129"/>
      <c r="R326" s="122"/>
    </row>
    <row r="327" ht="14.25" customHeight="1">
      <c r="D327" s="129"/>
      <c r="E327" s="129"/>
      <c r="F327" s="129"/>
      <c r="R327" s="122"/>
    </row>
    <row r="328" ht="14.25" customHeight="1">
      <c r="D328" s="129"/>
      <c r="E328" s="129"/>
      <c r="F328" s="129"/>
      <c r="R328" s="122"/>
    </row>
    <row r="329" ht="14.25" customHeight="1">
      <c r="D329" s="129"/>
      <c r="E329" s="129"/>
      <c r="F329" s="129"/>
      <c r="R329" s="122"/>
    </row>
    <row r="330" ht="14.25" customHeight="1">
      <c r="D330" s="129"/>
      <c r="E330" s="129"/>
      <c r="F330" s="129"/>
      <c r="R330" s="122"/>
    </row>
    <row r="331" ht="14.25" customHeight="1">
      <c r="D331" s="129"/>
      <c r="E331" s="129"/>
      <c r="F331" s="129"/>
      <c r="R331" s="122"/>
    </row>
    <row r="332" ht="14.25" customHeight="1">
      <c r="D332" s="129"/>
      <c r="E332" s="129"/>
      <c r="F332" s="129"/>
      <c r="R332" s="122"/>
    </row>
    <row r="333" ht="14.25" customHeight="1">
      <c r="D333" s="129"/>
      <c r="E333" s="129"/>
      <c r="F333" s="129"/>
      <c r="R333" s="122"/>
    </row>
    <row r="334" ht="14.25" customHeight="1">
      <c r="D334" s="129"/>
      <c r="E334" s="129"/>
      <c r="F334" s="129"/>
      <c r="R334" s="122"/>
    </row>
    <row r="335" ht="14.25" customHeight="1">
      <c r="D335" s="129"/>
      <c r="E335" s="129"/>
      <c r="F335" s="129"/>
      <c r="R335" s="122"/>
    </row>
    <row r="336" ht="14.25" customHeight="1">
      <c r="D336" s="129"/>
      <c r="E336" s="129"/>
      <c r="F336" s="129"/>
      <c r="R336" s="122"/>
    </row>
    <row r="337" ht="14.25" customHeight="1">
      <c r="D337" s="129"/>
      <c r="E337" s="129"/>
      <c r="F337" s="129"/>
      <c r="R337" s="122"/>
    </row>
    <row r="338" ht="14.25" customHeight="1">
      <c r="D338" s="129"/>
      <c r="E338" s="129"/>
      <c r="F338" s="129"/>
      <c r="R338" s="122"/>
    </row>
    <row r="339" ht="14.25" customHeight="1">
      <c r="D339" s="129"/>
      <c r="E339" s="129"/>
      <c r="F339" s="129"/>
      <c r="R339" s="122"/>
    </row>
    <row r="340" ht="14.25" customHeight="1">
      <c r="D340" s="129"/>
      <c r="E340" s="129"/>
      <c r="F340" s="129"/>
      <c r="R340" s="122"/>
    </row>
    <row r="341" ht="14.25" customHeight="1">
      <c r="D341" s="129"/>
      <c r="E341" s="129"/>
      <c r="F341" s="129"/>
      <c r="R341" s="122"/>
    </row>
    <row r="342" ht="14.25" customHeight="1">
      <c r="D342" s="129"/>
      <c r="E342" s="129"/>
      <c r="F342" s="129"/>
      <c r="R342" s="122"/>
    </row>
    <row r="343" ht="14.25" customHeight="1">
      <c r="D343" s="129"/>
      <c r="E343" s="129"/>
      <c r="F343" s="129"/>
      <c r="R343" s="122"/>
    </row>
    <row r="344" ht="14.25" customHeight="1">
      <c r="D344" s="129"/>
      <c r="E344" s="129"/>
      <c r="F344" s="129"/>
      <c r="R344" s="122"/>
    </row>
    <row r="345" ht="14.25" customHeight="1">
      <c r="D345" s="129"/>
      <c r="E345" s="129"/>
      <c r="F345" s="129"/>
      <c r="R345" s="122"/>
    </row>
    <row r="346" ht="14.25" customHeight="1">
      <c r="D346" s="129"/>
      <c r="E346" s="129"/>
      <c r="F346" s="129"/>
      <c r="R346" s="122"/>
    </row>
    <row r="347" ht="14.25" customHeight="1">
      <c r="D347" s="129"/>
      <c r="E347" s="129"/>
      <c r="F347" s="129"/>
      <c r="R347" s="122"/>
    </row>
    <row r="348" ht="14.25" customHeight="1">
      <c r="D348" s="129"/>
      <c r="E348" s="129"/>
      <c r="F348" s="129"/>
      <c r="R348" s="122"/>
    </row>
    <row r="349" ht="14.25" customHeight="1">
      <c r="D349" s="129"/>
      <c r="E349" s="129"/>
      <c r="F349" s="129"/>
      <c r="R349" s="122"/>
    </row>
    <row r="350" ht="14.25" customHeight="1">
      <c r="D350" s="129"/>
      <c r="E350" s="129"/>
      <c r="F350" s="129"/>
      <c r="R350" s="122"/>
    </row>
    <row r="351" ht="14.25" customHeight="1">
      <c r="D351" s="129"/>
      <c r="E351" s="129"/>
      <c r="F351" s="129"/>
      <c r="R351" s="122"/>
    </row>
    <row r="352" ht="14.25" customHeight="1">
      <c r="D352" s="129"/>
      <c r="E352" s="129"/>
      <c r="F352" s="129"/>
      <c r="R352" s="122"/>
    </row>
    <row r="353" ht="14.25" customHeight="1">
      <c r="D353" s="129"/>
      <c r="E353" s="129"/>
      <c r="F353" s="129"/>
      <c r="R353" s="122"/>
    </row>
    <row r="354" ht="14.25" customHeight="1">
      <c r="D354" s="129"/>
      <c r="E354" s="129"/>
      <c r="F354" s="129"/>
      <c r="R354" s="122"/>
    </row>
    <row r="355" ht="14.25" customHeight="1">
      <c r="D355" s="129"/>
      <c r="E355" s="129"/>
      <c r="F355" s="129"/>
      <c r="R355" s="122"/>
    </row>
    <row r="356" ht="14.25" customHeight="1">
      <c r="D356" s="129"/>
      <c r="E356" s="129"/>
      <c r="F356" s="129"/>
      <c r="R356" s="122"/>
    </row>
    <row r="357" ht="14.25" customHeight="1">
      <c r="D357" s="129"/>
      <c r="E357" s="129"/>
      <c r="F357" s="129"/>
      <c r="R357" s="122"/>
    </row>
    <row r="358" ht="14.25" customHeight="1">
      <c r="D358" s="129"/>
      <c r="E358" s="129"/>
      <c r="F358" s="129"/>
      <c r="R358" s="122"/>
    </row>
    <row r="359" ht="14.25" customHeight="1">
      <c r="D359" s="129"/>
      <c r="E359" s="129"/>
      <c r="F359" s="129"/>
      <c r="R359" s="122"/>
    </row>
    <row r="360" ht="14.25" customHeight="1">
      <c r="D360" s="129"/>
      <c r="E360" s="129"/>
      <c r="F360" s="129"/>
      <c r="R360" s="122"/>
    </row>
    <row r="361" ht="14.25" customHeight="1">
      <c r="D361" s="129"/>
      <c r="E361" s="129"/>
      <c r="F361" s="129"/>
      <c r="R361" s="122"/>
    </row>
    <row r="362" ht="14.25" customHeight="1">
      <c r="D362" s="129"/>
      <c r="E362" s="129"/>
      <c r="F362" s="129"/>
      <c r="R362" s="122"/>
    </row>
    <row r="363" ht="14.25" customHeight="1">
      <c r="D363" s="129"/>
      <c r="E363" s="129"/>
      <c r="F363" s="129"/>
      <c r="R363" s="122"/>
    </row>
    <row r="364" ht="14.25" customHeight="1">
      <c r="D364" s="129"/>
      <c r="E364" s="129"/>
      <c r="F364" s="129"/>
      <c r="R364" s="122"/>
    </row>
    <row r="365" ht="14.25" customHeight="1">
      <c r="D365" s="129"/>
      <c r="E365" s="129"/>
      <c r="F365" s="129"/>
      <c r="R365" s="122"/>
    </row>
    <row r="366" ht="14.25" customHeight="1">
      <c r="D366" s="129"/>
      <c r="E366" s="129"/>
      <c r="F366" s="129"/>
      <c r="R366" s="122"/>
    </row>
    <row r="367" ht="14.25" customHeight="1">
      <c r="D367" s="129"/>
      <c r="E367" s="129"/>
      <c r="F367" s="129"/>
      <c r="R367" s="122"/>
    </row>
    <row r="368" ht="14.25" customHeight="1">
      <c r="D368" s="129"/>
      <c r="E368" s="129"/>
      <c r="F368" s="129"/>
      <c r="R368" s="122"/>
    </row>
    <row r="369" ht="14.25" customHeight="1">
      <c r="D369" s="129"/>
      <c r="E369" s="129"/>
      <c r="F369" s="129"/>
      <c r="R369" s="122"/>
    </row>
    <row r="370" ht="14.25" customHeight="1">
      <c r="D370" s="129"/>
      <c r="E370" s="129"/>
      <c r="F370" s="129"/>
      <c r="R370" s="122"/>
    </row>
    <row r="371" ht="14.25" customHeight="1">
      <c r="D371" s="129"/>
      <c r="E371" s="129"/>
      <c r="F371" s="129"/>
      <c r="R371" s="122"/>
    </row>
    <row r="372" ht="14.25" customHeight="1">
      <c r="D372" s="129"/>
      <c r="E372" s="129"/>
      <c r="F372" s="129"/>
      <c r="R372" s="122"/>
    </row>
    <row r="373" ht="14.25" customHeight="1">
      <c r="D373" s="129"/>
      <c r="E373" s="129"/>
      <c r="F373" s="129"/>
      <c r="R373" s="122"/>
    </row>
    <row r="374" ht="14.25" customHeight="1">
      <c r="D374" s="129"/>
      <c r="E374" s="129"/>
      <c r="F374" s="129"/>
      <c r="R374" s="122"/>
    </row>
    <row r="375" ht="14.25" customHeight="1">
      <c r="D375" s="129"/>
      <c r="E375" s="129"/>
      <c r="F375" s="129"/>
      <c r="R375" s="122"/>
    </row>
    <row r="376" ht="14.25" customHeight="1">
      <c r="D376" s="129"/>
      <c r="E376" s="129"/>
      <c r="F376" s="129"/>
      <c r="R376" s="122"/>
    </row>
    <row r="377" ht="14.25" customHeight="1">
      <c r="D377" s="129"/>
      <c r="E377" s="129"/>
      <c r="F377" s="129"/>
      <c r="R377" s="122"/>
    </row>
    <row r="378" ht="14.25" customHeight="1">
      <c r="D378" s="129"/>
      <c r="E378" s="129"/>
      <c r="F378" s="129"/>
      <c r="R378" s="122"/>
    </row>
    <row r="379" ht="14.25" customHeight="1">
      <c r="D379" s="129"/>
      <c r="E379" s="129"/>
      <c r="F379" s="129"/>
      <c r="R379" s="122"/>
    </row>
    <row r="380" ht="14.25" customHeight="1">
      <c r="D380" s="129"/>
      <c r="E380" s="129"/>
      <c r="F380" s="129"/>
      <c r="R380" s="122"/>
    </row>
    <row r="381" ht="14.25" customHeight="1">
      <c r="D381" s="129"/>
      <c r="E381" s="129"/>
      <c r="F381" s="129"/>
      <c r="R381" s="122"/>
    </row>
    <row r="382" ht="14.25" customHeight="1">
      <c r="D382" s="129"/>
      <c r="E382" s="129"/>
      <c r="F382" s="129"/>
      <c r="R382" s="122"/>
    </row>
    <row r="383" ht="14.25" customHeight="1">
      <c r="D383" s="129"/>
      <c r="E383" s="129"/>
      <c r="F383" s="129"/>
      <c r="R383" s="122"/>
    </row>
    <row r="384" ht="14.25" customHeight="1">
      <c r="D384" s="129"/>
      <c r="E384" s="129"/>
      <c r="F384" s="129"/>
      <c r="R384" s="122"/>
    </row>
    <row r="385" ht="14.25" customHeight="1">
      <c r="D385" s="129"/>
      <c r="E385" s="129"/>
      <c r="F385" s="129"/>
      <c r="R385" s="122"/>
    </row>
    <row r="386" ht="14.25" customHeight="1">
      <c r="D386" s="129"/>
      <c r="E386" s="129"/>
      <c r="F386" s="129"/>
      <c r="R386" s="122"/>
    </row>
    <row r="387" ht="14.25" customHeight="1">
      <c r="D387" s="129"/>
      <c r="E387" s="129"/>
      <c r="F387" s="129"/>
      <c r="R387" s="122"/>
    </row>
    <row r="388" ht="14.25" customHeight="1">
      <c r="D388" s="129"/>
      <c r="E388" s="129"/>
      <c r="F388" s="129"/>
      <c r="R388" s="122"/>
    </row>
    <row r="389" ht="14.25" customHeight="1">
      <c r="D389" s="129"/>
      <c r="E389" s="129"/>
      <c r="F389" s="129"/>
      <c r="R389" s="122"/>
    </row>
    <row r="390" ht="14.25" customHeight="1">
      <c r="D390" s="129"/>
      <c r="E390" s="129"/>
      <c r="F390" s="129"/>
      <c r="R390" s="122"/>
    </row>
    <row r="391" ht="14.25" customHeight="1">
      <c r="D391" s="129"/>
      <c r="E391" s="129"/>
      <c r="F391" s="129"/>
      <c r="R391" s="122"/>
    </row>
    <row r="392" ht="14.25" customHeight="1">
      <c r="D392" s="129"/>
      <c r="E392" s="129"/>
      <c r="F392" s="129"/>
      <c r="R392" s="122"/>
    </row>
    <row r="393" ht="14.25" customHeight="1">
      <c r="D393" s="129"/>
      <c r="E393" s="129"/>
      <c r="F393" s="129"/>
      <c r="R393" s="122"/>
    </row>
    <row r="394" ht="14.25" customHeight="1">
      <c r="D394" s="129"/>
      <c r="E394" s="129"/>
      <c r="F394" s="129"/>
      <c r="R394" s="122"/>
    </row>
    <row r="395" ht="14.25" customHeight="1">
      <c r="D395" s="129"/>
      <c r="E395" s="129"/>
      <c r="F395" s="129"/>
      <c r="R395" s="122"/>
    </row>
    <row r="396" ht="14.25" customHeight="1">
      <c r="D396" s="129"/>
      <c r="E396" s="129"/>
      <c r="F396" s="129"/>
      <c r="R396" s="122"/>
    </row>
    <row r="397" ht="14.25" customHeight="1">
      <c r="D397" s="129"/>
      <c r="E397" s="129"/>
      <c r="F397" s="129"/>
      <c r="R397" s="122"/>
    </row>
    <row r="398" ht="14.25" customHeight="1">
      <c r="D398" s="129"/>
      <c r="E398" s="129"/>
      <c r="F398" s="129"/>
      <c r="R398" s="122"/>
    </row>
    <row r="399" ht="14.25" customHeight="1">
      <c r="D399" s="129"/>
      <c r="E399" s="129"/>
      <c r="F399" s="129"/>
      <c r="R399" s="122"/>
    </row>
    <row r="400" ht="14.25" customHeight="1">
      <c r="D400" s="129"/>
      <c r="E400" s="129"/>
      <c r="F400" s="129"/>
      <c r="R400" s="122"/>
    </row>
    <row r="401" ht="14.25" customHeight="1">
      <c r="D401" s="129"/>
      <c r="E401" s="129"/>
      <c r="F401" s="129"/>
      <c r="R401" s="122"/>
    </row>
    <row r="402" ht="14.25" customHeight="1">
      <c r="D402" s="129"/>
      <c r="E402" s="129"/>
      <c r="F402" s="129"/>
      <c r="R402" s="122"/>
    </row>
    <row r="403" ht="14.25" customHeight="1">
      <c r="D403" s="129"/>
      <c r="E403" s="129"/>
      <c r="F403" s="129"/>
      <c r="R403" s="122"/>
    </row>
    <row r="404" ht="14.25" customHeight="1">
      <c r="D404" s="129"/>
      <c r="E404" s="129"/>
      <c r="F404" s="129"/>
      <c r="R404" s="122"/>
    </row>
    <row r="405" ht="14.25" customHeight="1">
      <c r="D405" s="129"/>
      <c r="E405" s="129"/>
      <c r="F405" s="129"/>
      <c r="R405" s="122"/>
    </row>
    <row r="406" ht="14.25" customHeight="1">
      <c r="D406" s="129"/>
      <c r="E406" s="129"/>
      <c r="F406" s="129"/>
      <c r="R406" s="122"/>
    </row>
    <row r="407" ht="14.25" customHeight="1">
      <c r="D407" s="129"/>
      <c r="E407" s="129"/>
      <c r="F407" s="129"/>
      <c r="R407" s="122"/>
    </row>
    <row r="408" ht="14.25" customHeight="1">
      <c r="D408" s="129"/>
      <c r="E408" s="129"/>
      <c r="F408" s="129"/>
      <c r="R408" s="122"/>
    </row>
    <row r="409" ht="14.25" customHeight="1">
      <c r="D409" s="129"/>
      <c r="E409" s="129"/>
      <c r="F409" s="129"/>
      <c r="R409" s="122"/>
    </row>
    <row r="410" ht="14.25" customHeight="1">
      <c r="D410" s="129"/>
      <c r="E410" s="129"/>
      <c r="F410" s="129"/>
      <c r="R410" s="122"/>
    </row>
    <row r="411" ht="14.25" customHeight="1">
      <c r="D411" s="129"/>
      <c r="E411" s="129"/>
      <c r="F411" s="129"/>
      <c r="R411" s="122"/>
    </row>
    <row r="412" ht="14.25" customHeight="1">
      <c r="D412" s="129"/>
      <c r="E412" s="129"/>
      <c r="F412" s="129"/>
      <c r="R412" s="122"/>
    </row>
    <row r="413" ht="14.25" customHeight="1">
      <c r="D413" s="129"/>
      <c r="E413" s="129"/>
      <c r="F413" s="129"/>
      <c r="R413" s="122"/>
    </row>
    <row r="414" ht="14.25" customHeight="1">
      <c r="D414" s="129"/>
      <c r="E414" s="129"/>
      <c r="F414" s="129"/>
      <c r="R414" s="122"/>
    </row>
    <row r="415" ht="14.25" customHeight="1">
      <c r="D415" s="129"/>
      <c r="E415" s="129"/>
      <c r="F415" s="129"/>
      <c r="R415" s="122"/>
    </row>
    <row r="416" ht="14.25" customHeight="1">
      <c r="D416" s="129"/>
      <c r="E416" s="129"/>
      <c r="F416" s="129"/>
      <c r="R416" s="122"/>
    </row>
    <row r="417" ht="14.25" customHeight="1">
      <c r="D417" s="129"/>
      <c r="E417" s="129"/>
      <c r="F417" s="129"/>
      <c r="R417" s="122"/>
    </row>
    <row r="418" ht="14.25" customHeight="1">
      <c r="D418" s="129"/>
      <c r="E418" s="129"/>
      <c r="F418" s="129"/>
      <c r="R418" s="122"/>
    </row>
    <row r="419" ht="14.25" customHeight="1">
      <c r="D419" s="129"/>
      <c r="E419" s="129"/>
      <c r="F419" s="129"/>
      <c r="R419" s="122"/>
    </row>
    <row r="420" ht="14.25" customHeight="1">
      <c r="D420" s="129"/>
      <c r="E420" s="129"/>
      <c r="F420" s="129"/>
      <c r="R420" s="122"/>
    </row>
    <row r="421" ht="14.25" customHeight="1">
      <c r="D421" s="129"/>
      <c r="E421" s="129"/>
      <c r="F421" s="129"/>
      <c r="R421" s="122"/>
    </row>
    <row r="422" ht="14.25" customHeight="1">
      <c r="D422" s="129"/>
      <c r="E422" s="129"/>
      <c r="F422" s="129"/>
      <c r="R422" s="122"/>
    </row>
    <row r="423" ht="14.25" customHeight="1">
      <c r="D423" s="129"/>
      <c r="E423" s="129"/>
      <c r="F423" s="129"/>
      <c r="R423" s="122"/>
    </row>
    <row r="424" ht="14.25" customHeight="1">
      <c r="D424" s="129"/>
      <c r="E424" s="129"/>
      <c r="F424" s="129"/>
      <c r="R424" s="122"/>
    </row>
    <row r="425" ht="14.25" customHeight="1">
      <c r="D425" s="129"/>
      <c r="E425" s="129"/>
      <c r="F425" s="129"/>
      <c r="R425" s="122"/>
    </row>
    <row r="426" ht="14.25" customHeight="1">
      <c r="D426" s="129"/>
      <c r="E426" s="129"/>
      <c r="F426" s="129"/>
      <c r="R426" s="122"/>
    </row>
    <row r="427" ht="14.25" customHeight="1">
      <c r="D427" s="129"/>
      <c r="E427" s="129"/>
      <c r="F427" s="129"/>
      <c r="R427" s="122"/>
    </row>
    <row r="428" ht="14.25" customHeight="1">
      <c r="D428" s="129"/>
      <c r="E428" s="129"/>
      <c r="F428" s="129"/>
      <c r="R428" s="122"/>
    </row>
    <row r="429" ht="14.25" customHeight="1">
      <c r="D429" s="129"/>
      <c r="E429" s="129"/>
      <c r="F429" s="129"/>
      <c r="R429" s="122"/>
    </row>
    <row r="430" ht="14.25" customHeight="1">
      <c r="D430" s="129"/>
      <c r="E430" s="129"/>
      <c r="F430" s="129"/>
      <c r="R430" s="122"/>
    </row>
    <row r="431" ht="14.25" customHeight="1">
      <c r="D431" s="129"/>
      <c r="E431" s="129"/>
      <c r="F431" s="129"/>
      <c r="R431" s="122"/>
    </row>
    <row r="432" ht="14.25" customHeight="1">
      <c r="D432" s="129"/>
      <c r="E432" s="129"/>
      <c r="F432" s="129"/>
      <c r="R432" s="122"/>
    </row>
    <row r="433" ht="14.25" customHeight="1">
      <c r="D433" s="129"/>
      <c r="E433" s="129"/>
      <c r="F433" s="129"/>
      <c r="R433" s="122"/>
    </row>
    <row r="434" ht="14.25" customHeight="1">
      <c r="D434" s="129"/>
      <c r="E434" s="129"/>
      <c r="F434" s="129"/>
      <c r="R434" s="122"/>
    </row>
    <row r="435" ht="14.25" customHeight="1">
      <c r="D435" s="129"/>
      <c r="E435" s="129"/>
      <c r="F435" s="129"/>
      <c r="R435" s="122"/>
    </row>
    <row r="436" ht="14.25" customHeight="1">
      <c r="D436" s="129"/>
      <c r="E436" s="129"/>
      <c r="F436" s="129"/>
      <c r="R436" s="122"/>
    </row>
    <row r="437" ht="14.25" customHeight="1">
      <c r="D437" s="129"/>
      <c r="E437" s="129"/>
      <c r="F437" s="129"/>
      <c r="R437" s="122"/>
    </row>
    <row r="438" ht="14.25" customHeight="1">
      <c r="D438" s="129"/>
      <c r="E438" s="129"/>
      <c r="F438" s="129"/>
      <c r="R438" s="122"/>
    </row>
    <row r="439" ht="14.25" customHeight="1">
      <c r="D439" s="129"/>
      <c r="E439" s="129"/>
      <c r="F439" s="129"/>
      <c r="R439" s="122"/>
    </row>
    <row r="440" ht="14.25" customHeight="1">
      <c r="D440" s="129"/>
      <c r="E440" s="129"/>
      <c r="F440" s="129"/>
      <c r="R440" s="122"/>
    </row>
    <row r="441" ht="14.25" customHeight="1">
      <c r="D441" s="129"/>
      <c r="E441" s="129"/>
      <c r="F441" s="129"/>
      <c r="R441" s="122"/>
    </row>
    <row r="442" ht="14.25" customHeight="1">
      <c r="D442" s="129"/>
      <c r="E442" s="129"/>
      <c r="F442" s="129"/>
      <c r="R442" s="122"/>
    </row>
    <row r="443" ht="14.25" customHeight="1">
      <c r="D443" s="129"/>
      <c r="E443" s="129"/>
      <c r="F443" s="129"/>
      <c r="R443" s="122"/>
    </row>
    <row r="444" ht="14.25" customHeight="1">
      <c r="D444" s="129"/>
      <c r="E444" s="129"/>
      <c r="F444" s="129"/>
      <c r="R444" s="122"/>
    </row>
    <row r="445" ht="14.25" customHeight="1">
      <c r="D445" s="129"/>
      <c r="E445" s="129"/>
      <c r="F445" s="129"/>
      <c r="R445" s="122"/>
    </row>
    <row r="446" ht="14.25" customHeight="1">
      <c r="D446" s="129"/>
      <c r="E446" s="129"/>
      <c r="F446" s="129"/>
      <c r="R446" s="122"/>
    </row>
    <row r="447" ht="14.25" customHeight="1">
      <c r="D447" s="129"/>
      <c r="E447" s="129"/>
      <c r="F447" s="129"/>
      <c r="R447" s="122"/>
    </row>
    <row r="448" ht="14.25" customHeight="1">
      <c r="D448" s="129"/>
      <c r="E448" s="129"/>
      <c r="F448" s="129"/>
      <c r="R448" s="122"/>
    </row>
    <row r="449" ht="14.25" customHeight="1">
      <c r="D449" s="129"/>
      <c r="E449" s="129"/>
      <c r="F449" s="129"/>
      <c r="R449" s="122"/>
    </row>
    <row r="450" ht="14.25" customHeight="1">
      <c r="D450" s="129"/>
      <c r="E450" s="129"/>
      <c r="F450" s="129"/>
      <c r="R450" s="122"/>
    </row>
    <row r="451" ht="14.25" customHeight="1">
      <c r="D451" s="129"/>
      <c r="E451" s="129"/>
      <c r="F451" s="129"/>
      <c r="R451" s="122"/>
    </row>
    <row r="452" ht="14.25" customHeight="1">
      <c r="D452" s="129"/>
      <c r="E452" s="129"/>
      <c r="F452" s="129"/>
      <c r="R452" s="122"/>
    </row>
    <row r="453" ht="14.25" customHeight="1">
      <c r="D453" s="129"/>
      <c r="E453" s="129"/>
      <c r="F453" s="129"/>
      <c r="R453" s="122"/>
    </row>
    <row r="454" ht="14.25" customHeight="1">
      <c r="D454" s="129"/>
      <c r="E454" s="129"/>
      <c r="F454" s="129"/>
      <c r="R454" s="122"/>
    </row>
    <row r="455" ht="14.25" customHeight="1">
      <c r="D455" s="129"/>
      <c r="E455" s="129"/>
      <c r="F455" s="129"/>
      <c r="R455" s="122"/>
    </row>
    <row r="456" ht="14.25" customHeight="1">
      <c r="D456" s="129"/>
      <c r="E456" s="129"/>
      <c r="F456" s="129"/>
      <c r="R456" s="122"/>
    </row>
    <row r="457" ht="14.25" customHeight="1">
      <c r="D457" s="129"/>
      <c r="E457" s="129"/>
      <c r="F457" s="129"/>
      <c r="R457" s="122"/>
    </row>
    <row r="458" ht="14.25" customHeight="1">
      <c r="D458" s="129"/>
      <c r="E458" s="129"/>
      <c r="F458" s="129"/>
      <c r="R458" s="122"/>
    </row>
    <row r="459" ht="14.25" customHeight="1">
      <c r="D459" s="129"/>
      <c r="E459" s="129"/>
      <c r="F459" s="129"/>
      <c r="R459" s="122"/>
    </row>
    <row r="460" ht="14.25" customHeight="1">
      <c r="D460" s="129"/>
      <c r="E460" s="129"/>
      <c r="F460" s="129"/>
      <c r="R460" s="122"/>
    </row>
    <row r="461" ht="14.25" customHeight="1">
      <c r="D461" s="129"/>
      <c r="E461" s="129"/>
      <c r="F461" s="129"/>
      <c r="R461" s="122"/>
    </row>
    <row r="462" ht="14.25" customHeight="1">
      <c r="D462" s="129"/>
      <c r="E462" s="129"/>
      <c r="F462" s="129"/>
      <c r="R462" s="122"/>
    </row>
    <row r="463" ht="14.25" customHeight="1">
      <c r="D463" s="129"/>
      <c r="E463" s="129"/>
      <c r="F463" s="129"/>
      <c r="R463" s="122"/>
    </row>
    <row r="464" ht="14.25" customHeight="1">
      <c r="D464" s="129"/>
      <c r="E464" s="129"/>
      <c r="F464" s="129"/>
      <c r="R464" s="122"/>
    </row>
    <row r="465" ht="14.25" customHeight="1">
      <c r="D465" s="129"/>
      <c r="E465" s="129"/>
      <c r="F465" s="129"/>
      <c r="R465" s="122"/>
    </row>
    <row r="466" ht="14.25" customHeight="1">
      <c r="D466" s="129"/>
      <c r="E466" s="129"/>
      <c r="F466" s="129"/>
      <c r="R466" s="122"/>
    </row>
    <row r="467" ht="14.25" customHeight="1">
      <c r="D467" s="129"/>
      <c r="E467" s="129"/>
      <c r="F467" s="129"/>
      <c r="R467" s="122"/>
    </row>
    <row r="468" ht="14.25" customHeight="1">
      <c r="D468" s="129"/>
      <c r="E468" s="129"/>
      <c r="F468" s="129"/>
      <c r="R468" s="122"/>
    </row>
    <row r="469" ht="14.25" customHeight="1">
      <c r="D469" s="129"/>
      <c r="E469" s="129"/>
      <c r="F469" s="129"/>
      <c r="R469" s="122"/>
    </row>
    <row r="470" ht="14.25" customHeight="1">
      <c r="D470" s="129"/>
      <c r="E470" s="129"/>
      <c r="F470" s="129"/>
      <c r="R470" s="122"/>
    </row>
    <row r="471" ht="14.25" customHeight="1">
      <c r="D471" s="129"/>
      <c r="E471" s="129"/>
      <c r="F471" s="129"/>
      <c r="R471" s="122"/>
    </row>
    <row r="472" ht="14.25" customHeight="1">
      <c r="D472" s="129"/>
      <c r="E472" s="129"/>
      <c r="F472" s="129"/>
      <c r="R472" s="122"/>
    </row>
    <row r="473" ht="14.25" customHeight="1">
      <c r="D473" s="129"/>
      <c r="E473" s="129"/>
      <c r="F473" s="129"/>
      <c r="R473" s="122"/>
    </row>
    <row r="474" ht="14.25" customHeight="1">
      <c r="D474" s="129"/>
      <c r="E474" s="129"/>
      <c r="F474" s="129"/>
      <c r="R474" s="122"/>
    </row>
    <row r="475" ht="14.25" customHeight="1">
      <c r="D475" s="129"/>
      <c r="E475" s="129"/>
      <c r="F475" s="129"/>
      <c r="R475" s="122"/>
    </row>
    <row r="476" ht="14.25" customHeight="1">
      <c r="D476" s="129"/>
      <c r="E476" s="129"/>
      <c r="F476" s="129"/>
      <c r="R476" s="122"/>
    </row>
    <row r="477" ht="14.25" customHeight="1">
      <c r="D477" s="129"/>
      <c r="E477" s="129"/>
      <c r="F477" s="129"/>
      <c r="R477" s="122"/>
    </row>
    <row r="478" ht="14.25" customHeight="1">
      <c r="D478" s="129"/>
      <c r="E478" s="129"/>
      <c r="F478" s="129"/>
      <c r="R478" s="122"/>
    </row>
    <row r="479" ht="14.25" customHeight="1">
      <c r="D479" s="129"/>
      <c r="E479" s="129"/>
      <c r="F479" s="129"/>
      <c r="R479" s="122"/>
    </row>
    <row r="480" ht="14.25" customHeight="1">
      <c r="D480" s="129"/>
      <c r="E480" s="129"/>
      <c r="F480" s="129"/>
      <c r="R480" s="122"/>
    </row>
    <row r="481" ht="14.25" customHeight="1">
      <c r="D481" s="129"/>
      <c r="E481" s="129"/>
      <c r="F481" s="129"/>
      <c r="R481" s="122"/>
    </row>
    <row r="482" ht="14.25" customHeight="1">
      <c r="D482" s="129"/>
      <c r="E482" s="129"/>
      <c r="F482" s="129"/>
      <c r="R482" s="122"/>
    </row>
    <row r="483" ht="14.25" customHeight="1">
      <c r="D483" s="129"/>
      <c r="E483" s="129"/>
      <c r="F483" s="129"/>
      <c r="R483" s="122"/>
    </row>
    <row r="484" ht="14.25" customHeight="1">
      <c r="D484" s="129"/>
      <c r="E484" s="129"/>
      <c r="F484" s="129"/>
      <c r="R484" s="122"/>
    </row>
    <row r="485" ht="14.25" customHeight="1">
      <c r="D485" s="129"/>
      <c r="E485" s="129"/>
      <c r="F485" s="129"/>
      <c r="R485" s="122"/>
    </row>
    <row r="486" ht="14.25" customHeight="1">
      <c r="D486" s="129"/>
      <c r="E486" s="129"/>
      <c r="F486" s="129"/>
      <c r="R486" s="122"/>
    </row>
    <row r="487" ht="14.25" customHeight="1">
      <c r="D487" s="129"/>
      <c r="E487" s="129"/>
      <c r="F487" s="129"/>
      <c r="R487" s="122"/>
    </row>
    <row r="488" ht="14.25" customHeight="1">
      <c r="D488" s="129"/>
      <c r="E488" s="129"/>
      <c r="F488" s="129"/>
      <c r="R488" s="122"/>
    </row>
    <row r="489" ht="14.25" customHeight="1">
      <c r="D489" s="129"/>
      <c r="E489" s="129"/>
      <c r="F489" s="129"/>
      <c r="R489" s="122"/>
    </row>
    <row r="490" ht="14.25" customHeight="1">
      <c r="D490" s="129"/>
      <c r="E490" s="129"/>
      <c r="F490" s="129"/>
      <c r="R490" s="122"/>
    </row>
    <row r="491" ht="14.25" customHeight="1">
      <c r="D491" s="129"/>
      <c r="E491" s="129"/>
      <c r="F491" s="129"/>
      <c r="R491" s="122"/>
    </row>
    <row r="492" ht="14.25" customHeight="1">
      <c r="D492" s="129"/>
      <c r="E492" s="129"/>
      <c r="F492" s="129"/>
      <c r="R492" s="122"/>
    </row>
    <row r="493" ht="14.25" customHeight="1">
      <c r="D493" s="129"/>
      <c r="E493" s="129"/>
      <c r="F493" s="129"/>
      <c r="R493" s="122"/>
    </row>
    <row r="494" ht="14.25" customHeight="1">
      <c r="D494" s="129"/>
      <c r="E494" s="129"/>
      <c r="F494" s="129"/>
      <c r="R494" s="122"/>
    </row>
    <row r="495" ht="14.25" customHeight="1">
      <c r="D495" s="129"/>
      <c r="E495" s="129"/>
      <c r="F495" s="129"/>
      <c r="R495" s="122"/>
    </row>
    <row r="496" ht="14.25" customHeight="1">
      <c r="D496" s="129"/>
      <c r="E496" s="129"/>
      <c r="F496" s="129"/>
      <c r="R496" s="122"/>
    </row>
    <row r="497" ht="14.25" customHeight="1">
      <c r="D497" s="129"/>
      <c r="E497" s="129"/>
      <c r="F497" s="129"/>
      <c r="R497" s="122"/>
    </row>
    <row r="498" ht="14.25" customHeight="1">
      <c r="D498" s="129"/>
      <c r="E498" s="129"/>
      <c r="F498" s="129"/>
      <c r="R498" s="122"/>
    </row>
    <row r="499" ht="14.25" customHeight="1">
      <c r="D499" s="129"/>
      <c r="E499" s="129"/>
      <c r="F499" s="129"/>
      <c r="R499" s="122"/>
    </row>
    <row r="500" ht="14.25" customHeight="1">
      <c r="D500" s="129"/>
      <c r="E500" s="129"/>
      <c r="F500" s="129"/>
      <c r="R500" s="122"/>
    </row>
    <row r="501" ht="14.25" customHeight="1">
      <c r="D501" s="129"/>
      <c r="E501" s="129"/>
      <c r="F501" s="129"/>
      <c r="R501" s="122"/>
    </row>
    <row r="502" ht="14.25" customHeight="1">
      <c r="D502" s="129"/>
      <c r="E502" s="129"/>
      <c r="F502" s="129"/>
      <c r="R502" s="122"/>
    </row>
    <row r="503" ht="14.25" customHeight="1">
      <c r="D503" s="129"/>
      <c r="E503" s="129"/>
      <c r="F503" s="129"/>
      <c r="R503" s="122"/>
    </row>
    <row r="504" ht="14.25" customHeight="1">
      <c r="D504" s="129"/>
      <c r="E504" s="129"/>
      <c r="F504" s="129"/>
      <c r="R504" s="122"/>
    </row>
    <row r="505" ht="14.25" customHeight="1">
      <c r="D505" s="129"/>
      <c r="E505" s="129"/>
      <c r="F505" s="129"/>
      <c r="R505" s="122"/>
    </row>
    <row r="506" ht="14.25" customHeight="1">
      <c r="D506" s="129"/>
      <c r="E506" s="129"/>
      <c r="F506" s="129"/>
      <c r="R506" s="122"/>
    </row>
    <row r="507" ht="14.25" customHeight="1">
      <c r="D507" s="129"/>
      <c r="E507" s="129"/>
      <c r="F507" s="129"/>
      <c r="R507" s="122"/>
    </row>
    <row r="508" ht="14.25" customHeight="1">
      <c r="D508" s="129"/>
      <c r="E508" s="129"/>
      <c r="F508" s="129"/>
      <c r="R508" s="122"/>
    </row>
    <row r="509" ht="14.25" customHeight="1">
      <c r="D509" s="129"/>
      <c r="E509" s="129"/>
      <c r="F509" s="129"/>
      <c r="R509" s="122"/>
    </row>
    <row r="510" ht="14.25" customHeight="1">
      <c r="D510" s="129"/>
      <c r="E510" s="129"/>
      <c r="F510" s="129"/>
      <c r="R510" s="122"/>
    </row>
    <row r="511" ht="14.25" customHeight="1">
      <c r="D511" s="129"/>
      <c r="E511" s="129"/>
      <c r="F511" s="129"/>
      <c r="R511" s="122"/>
    </row>
    <row r="512" ht="14.25" customHeight="1">
      <c r="D512" s="129"/>
      <c r="E512" s="129"/>
      <c r="F512" s="129"/>
      <c r="R512" s="122"/>
    </row>
    <row r="513" ht="14.25" customHeight="1">
      <c r="D513" s="129"/>
      <c r="E513" s="129"/>
      <c r="F513" s="129"/>
      <c r="R513" s="122"/>
    </row>
    <row r="514" ht="14.25" customHeight="1">
      <c r="D514" s="129"/>
      <c r="E514" s="129"/>
      <c r="F514" s="129"/>
      <c r="R514" s="122"/>
    </row>
    <row r="515" ht="14.25" customHeight="1">
      <c r="D515" s="129"/>
      <c r="E515" s="129"/>
      <c r="F515" s="129"/>
      <c r="R515" s="122"/>
    </row>
    <row r="516" ht="14.25" customHeight="1">
      <c r="D516" s="129"/>
      <c r="E516" s="129"/>
      <c r="F516" s="129"/>
      <c r="R516" s="122"/>
    </row>
    <row r="517" ht="14.25" customHeight="1">
      <c r="D517" s="129"/>
      <c r="E517" s="129"/>
      <c r="F517" s="129"/>
      <c r="R517" s="122"/>
    </row>
    <row r="518" ht="14.25" customHeight="1">
      <c r="D518" s="129"/>
      <c r="E518" s="129"/>
      <c r="F518" s="129"/>
      <c r="R518" s="122"/>
    </row>
    <row r="519" ht="14.25" customHeight="1">
      <c r="D519" s="129"/>
      <c r="E519" s="129"/>
      <c r="F519" s="129"/>
      <c r="R519" s="122"/>
    </row>
    <row r="520" ht="14.25" customHeight="1">
      <c r="D520" s="129"/>
      <c r="E520" s="129"/>
      <c r="F520" s="129"/>
      <c r="R520" s="122"/>
    </row>
    <row r="521" ht="14.25" customHeight="1">
      <c r="D521" s="129"/>
      <c r="E521" s="129"/>
      <c r="F521" s="129"/>
      <c r="R521" s="122"/>
    </row>
    <row r="522" ht="14.25" customHeight="1">
      <c r="D522" s="129"/>
      <c r="E522" s="129"/>
      <c r="F522" s="129"/>
      <c r="R522" s="122"/>
    </row>
    <row r="523" ht="14.25" customHeight="1">
      <c r="D523" s="129"/>
      <c r="E523" s="129"/>
      <c r="F523" s="129"/>
      <c r="R523" s="122"/>
    </row>
    <row r="524" ht="14.25" customHeight="1">
      <c r="D524" s="129"/>
      <c r="E524" s="129"/>
      <c r="F524" s="129"/>
      <c r="R524" s="122"/>
    </row>
    <row r="525" ht="14.25" customHeight="1">
      <c r="D525" s="129"/>
      <c r="E525" s="129"/>
      <c r="F525" s="129"/>
      <c r="R525" s="122"/>
    </row>
    <row r="526" ht="14.25" customHeight="1">
      <c r="D526" s="129"/>
      <c r="E526" s="129"/>
      <c r="F526" s="129"/>
      <c r="R526" s="122"/>
    </row>
    <row r="527" ht="14.25" customHeight="1">
      <c r="D527" s="129"/>
      <c r="E527" s="129"/>
      <c r="F527" s="129"/>
      <c r="R527" s="122"/>
    </row>
    <row r="528" ht="14.25" customHeight="1">
      <c r="D528" s="129"/>
      <c r="E528" s="129"/>
      <c r="F528" s="129"/>
      <c r="R528" s="122"/>
    </row>
    <row r="529" ht="14.25" customHeight="1">
      <c r="D529" s="129"/>
      <c r="E529" s="129"/>
      <c r="F529" s="129"/>
      <c r="R529" s="122"/>
    </row>
    <row r="530" ht="14.25" customHeight="1">
      <c r="D530" s="129"/>
      <c r="E530" s="129"/>
      <c r="F530" s="129"/>
      <c r="R530" s="122"/>
    </row>
    <row r="531" ht="14.25" customHeight="1">
      <c r="D531" s="129"/>
      <c r="E531" s="129"/>
      <c r="F531" s="129"/>
      <c r="R531" s="122"/>
    </row>
    <row r="532" ht="14.25" customHeight="1">
      <c r="D532" s="129"/>
      <c r="E532" s="129"/>
      <c r="F532" s="129"/>
      <c r="R532" s="122"/>
    </row>
    <row r="533" ht="14.25" customHeight="1">
      <c r="D533" s="129"/>
      <c r="E533" s="129"/>
      <c r="F533" s="129"/>
      <c r="R533" s="122"/>
    </row>
    <row r="534" ht="14.25" customHeight="1">
      <c r="D534" s="129"/>
      <c r="E534" s="129"/>
      <c r="F534" s="129"/>
      <c r="R534" s="122"/>
    </row>
    <row r="535" ht="14.25" customHeight="1">
      <c r="D535" s="129"/>
      <c r="E535" s="129"/>
      <c r="F535" s="129"/>
      <c r="R535" s="122"/>
    </row>
    <row r="536" ht="14.25" customHeight="1">
      <c r="D536" s="129"/>
      <c r="E536" s="129"/>
      <c r="F536" s="129"/>
      <c r="R536" s="122"/>
    </row>
    <row r="537" ht="14.25" customHeight="1">
      <c r="D537" s="129"/>
      <c r="E537" s="129"/>
      <c r="F537" s="129"/>
      <c r="R537" s="122"/>
    </row>
    <row r="538" ht="14.25" customHeight="1">
      <c r="D538" s="129"/>
      <c r="E538" s="129"/>
      <c r="F538" s="129"/>
      <c r="R538" s="122"/>
    </row>
    <row r="539" ht="14.25" customHeight="1">
      <c r="D539" s="129"/>
      <c r="E539" s="129"/>
      <c r="F539" s="129"/>
      <c r="R539" s="122"/>
    </row>
    <row r="540" ht="14.25" customHeight="1">
      <c r="D540" s="129"/>
      <c r="E540" s="129"/>
      <c r="F540" s="129"/>
      <c r="R540" s="122"/>
    </row>
    <row r="541" ht="14.25" customHeight="1">
      <c r="D541" s="129"/>
      <c r="E541" s="129"/>
      <c r="F541" s="129"/>
      <c r="R541" s="122"/>
    </row>
    <row r="542" ht="14.25" customHeight="1">
      <c r="D542" s="129"/>
      <c r="E542" s="129"/>
      <c r="F542" s="129"/>
      <c r="R542" s="122"/>
    </row>
    <row r="543" ht="14.25" customHeight="1">
      <c r="D543" s="129"/>
      <c r="E543" s="129"/>
      <c r="F543" s="129"/>
      <c r="R543" s="122"/>
    </row>
    <row r="544" ht="14.25" customHeight="1">
      <c r="D544" s="129"/>
      <c r="E544" s="129"/>
      <c r="F544" s="129"/>
      <c r="R544" s="122"/>
    </row>
    <row r="545" ht="14.25" customHeight="1">
      <c r="D545" s="129"/>
      <c r="E545" s="129"/>
      <c r="F545" s="129"/>
      <c r="R545" s="122"/>
    </row>
    <row r="546" ht="14.25" customHeight="1">
      <c r="D546" s="129"/>
      <c r="E546" s="129"/>
      <c r="F546" s="129"/>
      <c r="R546" s="122"/>
    </row>
    <row r="547" ht="14.25" customHeight="1">
      <c r="D547" s="129"/>
      <c r="E547" s="129"/>
      <c r="F547" s="129"/>
      <c r="R547" s="122"/>
    </row>
    <row r="548" ht="14.25" customHeight="1">
      <c r="D548" s="129"/>
      <c r="E548" s="129"/>
      <c r="F548" s="129"/>
      <c r="R548" s="122"/>
    </row>
    <row r="549" ht="14.25" customHeight="1">
      <c r="D549" s="129"/>
      <c r="E549" s="129"/>
      <c r="F549" s="129"/>
      <c r="R549" s="122"/>
    </row>
    <row r="550" ht="14.25" customHeight="1">
      <c r="D550" s="129"/>
      <c r="E550" s="129"/>
      <c r="F550" s="129"/>
      <c r="R550" s="122"/>
    </row>
    <row r="551" ht="14.25" customHeight="1">
      <c r="D551" s="129"/>
      <c r="E551" s="129"/>
      <c r="F551" s="129"/>
      <c r="R551" s="122"/>
    </row>
    <row r="552" ht="14.25" customHeight="1">
      <c r="D552" s="129"/>
      <c r="E552" s="129"/>
      <c r="F552" s="129"/>
      <c r="R552" s="122"/>
    </row>
    <row r="553" ht="14.25" customHeight="1">
      <c r="D553" s="129"/>
      <c r="E553" s="129"/>
      <c r="F553" s="129"/>
      <c r="R553" s="122"/>
    </row>
    <row r="554" ht="14.25" customHeight="1">
      <c r="D554" s="129"/>
      <c r="E554" s="129"/>
      <c r="F554" s="129"/>
      <c r="R554" s="122"/>
    </row>
    <row r="555" ht="14.25" customHeight="1">
      <c r="D555" s="129"/>
      <c r="E555" s="129"/>
      <c r="F555" s="129"/>
      <c r="R555" s="122"/>
    </row>
    <row r="556" ht="14.25" customHeight="1">
      <c r="D556" s="129"/>
      <c r="E556" s="129"/>
      <c r="F556" s="129"/>
      <c r="R556" s="122"/>
    </row>
    <row r="557" ht="14.25" customHeight="1">
      <c r="D557" s="129"/>
      <c r="E557" s="129"/>
      <c r="F557" s="129"/>
      <c r="R557" s="122"/>
    </row>
    <row r="558" ht="14.25" customHeight="1">
      <c r="D558" s="129"/>
      <c r="E558" s="129"/>
      <c r="F558" s="129"/>
      <c r="R558" s="122"/>
    </row>
    <row r="559" ht="14.25" customHeight="1">
      <c r="D559" s="129"/>
      <c r="E559" s="129"/>
      <c r="F559" s="129"/>
      <c r="R559" s="122"/>
    </row>
    <row r="560" ht="14.25" customHeight="1">
      <c r="D560" s="129"/>
      <c r="E560" s="129"/>
      <c r="F560" s="129"/>
      <c r="R560" s="122"/>
    </row>
    <row r="561" ht="14.25" customHeight="1">
      <c r="D561" s="129"/>
      <c r="E561" s="129"/>
      <c r="F561" s="129"/>
      <c r="R561" s="122"/>
    </row>
    <row r="562" ht="14.25" customHeight="1">
      <c r="D562" s="129"/>
      <c r="E562" s="129"/>
      <c r="F562" s="129"/>
      <c r="R562" s="122"/>
    </row>
    <row r="563" ht="14.25" customHeight="1">
      <c r="D563" s="129"/>
      <c r="E563" s="129"/>
      <c r="F563" s="129"/>
      <c r="R563" s="122"/>
    </row>
    <row r="564" ht="14.25" customHeight="1">
      <c r="D564" s="129"/>
      <c r="E564" s="129"/>
      <c r="F564" s="129"/>
      <c r="R564" s="122"/>
    </row>
    <row r="565" ht="14.25" customHeight="1">
      <c r="D565" s="129"/>
      <c r="E565" s="129"/>
      <c r="F565" s="129"/>
      <c r="R565" s="122"/>
    </row>
    <row r="566" ht="14.25" customHeight="1">
      <c r="D566" s="129"/>
      <c r="E566" s="129"/>
      <c r="F566" s="129"/>
      <c r="R566" s="122"/>
    </row>
    <row r="567" ht="14.25" customHeight="1">
      <c r="D567" s="129"/>
      <c r="E567" s="129"/>
      <c r="F567" s="129"/>
      <c r="R567" s="122"/>
    </row>
    <row r="568" ht="14.25" customHeight="1">
      <c r="D568" s="129"/>
      <c r="E568" s="129"/>
      <c r="F568" s="129"/>
      <c r="R568" s="122"/>
    </row>
    <row r="569" ht="14.25" customHeight="1">
      <c r="D569" s="129"/>
      <c r="E569" s="129"/>
      <c r="F569" s="129"/>
      <c r="R569" s="122"/>
    </row>
    <row r="570" ht="14.25" customHeight="1">
      <c r="D570" s="129"/>
      <c r="E570" s="129"/>
      <c r="F570" s="129"/>
      <c r="R570" s="122"/>
    </row>
    <row r="571" ht="14.25" customHeight="1">
      <c r="D571" s="129"/>
      <c r="E571" s="129"/>
      <c r="F571" s="129"/>
      <c r="R571" s="122"/>
    </row>
    <row r="572" ht="14.25" customHeight="1">
      <c r="D572" s="129"/>
      <c r="E572" s="129"/>
      <c r="F572" s="129"/>
      <c r="R572" s="122"/>
    </row>
    <row r="573" ht="14.25" customHeight="1">
      <c r="D573" s="129"/>
      <c r="E573" s="129"/>
      <c r="F573" s="129"/>
      <c r="R573" s="122"/>
    </row>
    <row r="574" ht="14.25" customHeight="1">
      <c r="D574" s="129"/>
      <c r="E574" s="129"/>
      <c r="F574" s="129"/>
      <c r="R574" s="122"/>
    </row>
    <row r="575" ht="14.25" customHeight="1">
      <c r="D575" s="129"/>
      <c r="E575" s="129"/>
      <c r="F575" s="129"/>
      <c r="R575" s="122"/>
    </row>
    <row r="576" ht="14.25" customHeight="1">
      <c r="D576" s="129"/>
      <c r="E576" s="129"/>
      <c r="F576" s="129"/>
      <c r="R576" s="122"/>
    </row>
    <row r="577" ht="14.25" customHeight="1">
      <c r="D577" s="129"/>
      <c r="E577" s="129"/>
      <c r="F577" s="129"/>
      <c r="R577" s="122"/>
    </row>
    <row r="578" ht="14.25" customHeight="1">
      <c r="D578" s="129"/>
      <c r="E578" s="129"/>
      <c r="F578" s="129"/>
      <c r="R578" s="122"/>
    </row>
    <row r="579" ht="14.25" customHeight="1">
      <c r="D579" s="129"/>
      <c r="E579" s="129"/>
      <c r="F579" s="129"/>
      <c r="R579" s="122"/>
    </row>
    <row r="580" ht="14.25" customHeight="1">
      <c r="D580" s="129"/>
      <c r="E580" s="129"/>
      <c r="F580" s="129"/>
      <c r="R580" s="122"/>
    </row>
    <row r="581" ht="14.25" customHeight="1">
      <c r="D581" s="129"/>
      <c r="E581" s="129"/>
      <c r="F581" s="129"/>
      <c r="R581" s="122"/>
    </row>
    <row r="582" ht="14.25" customHeight="1">
      <c r="D582" s="129"/>
      <c r="E582" s="129"/>
      <c r="F582" s="129"/>
      <c r="R582" s="122"/>
    </row>
    <row r="583" ht="14.25" customHeight="1">
      <c r="D583" s="129"/>
      <c r="E583" s="129"/>
      <c r="F583" s="129"/>
      <c r="R583" s="122"/>
    </row>
    <row r="584" ht="14.25" customHeight="1">
      <c r="D584" s="129"/>
      <c r="E584" s="129"/>
      <c r="F584" s="129"/>
      <c r="R584" s="122"/>
    </row>
    <row r="585" ht="14.25" customHeight="1">
      <c r="D585" s="129"/>
      <c r="E585" s="129"/>
      <c r="F585" s="129"/>
      <c r="R585" s="122"/>
    </row>
    <row r="586" ht="14.25" customHeight="1">
      <c r="D586" s="129"/>
      <c r="E586" s="129"/>
      <c r="F586" s="129"/>
      <c r="R586" s="122"/>
    </row>
    <row r="587" ht="14.25" customHeight="1">
      <c r="D587" s="129"/>
      <c r="E587" s="129"/>
      <c r="F587" s="129"/>
      <c r="R587" s="122"/>
    </row>
    <row r="588" ht="14.25" customHeight="1">
      <c r="D588" s="129"/>
      <c r="E588" s="129"/>
      <c r="F588" s="129"/>
      <c r="R588" s="122"/>
    </row>
    <row r="589" ht="14.25" customHeight="1">
      <c r="D589" s="129"/>
      <c r="E589" s="129"/>
      <c r="F589" s="129"/>
      <c r="R589" s="122"/>
    </row>
    <row r="590" ht="14.25" customHeight="1">
      <c r="D590" s="129"/>
      <c r="E590" s="129"/>
      <c r="F590" s="129"/>
      <c r="R590" s="122"/>
    </row>
    <row r="591" ht="14.25" customHeight="1">
      <c r="D591" s="129"/>
      <c r="E591" s="129"/>
      <c r="F591" s="129"/>
      <c r="R591" s="122"/>
    </row>
    <row r="592" ht="14.25" customHeight="1">
      <c r="D592" s="129"/>
      <c r="E592" s="129"/>
      <c r="F592" s="129"/>
      <c r="R592" s="122"/>
    </row>
    <row r="593" ht="14.25" customHeight="1">
      <c r="D593" s="129"/>
      <c r="E593" s="129"/>
      <c r="F593" s="129"/>
      <c r="R593" s="122"/>
    </row>
    <row r="594" ht="14.25" customHeight="1">
      <c r="D594" s="129"/>
      <c r="E594" s="129"/>
      <c r="F594" s="129"/>
      <c r="R594" s="122"/>
    </row>
    <row r="595" ht="14.25" customHeight="1">
      <c r="D595" s="129"/>
      <c r="E595" s="129"/>
      <c r="F595" s="129"/>
      <c r="R595" s="122"/>
    </row>
    <row r="596" ht="14.25" customHeight="1">
      <c r="D596" s="129"/>
      <c r="E596" s="129"/>
      <c r="F596" s="129"/>
      <c r="R596" s="122"/>
    </row>
    <row r="597" ht="14.25" customHeight="1">
      <c r="D597" s="129"/>
      <c r="E597" s="129"/>
      <c r="F597" s="129"/>
      <c r="R597" s="122"/>
    </row>
    <row r="598" ht="14.25" customHeight="1">
      <c r="D598" s="129"/>
      <c r="E598" s="129"/>
      <c r="F598" s="129"/>
      <c r="R598" s="122"/>
    </row>
    <row r="599" ht="14.25" customHeight="1">
      <c r="D599" s="129"/>
      <c r="E599" s="129"/>
      <c r="F599" s="129"/>
      <c r="R599" s="122"/>
    </row>
    <row r="600" ht="14.25" customHeight="1">
      <c r="D600" s="129"/>
      <c r="E600" s="129"/>
      <c r="F600" s="129"/>
      <c r="R600" s="122"/>
    </row>
    <row r="601" ht="14.25" customHeight="1">
      <c r="D601" s="129"/>
      <c r="E601" s="129"/>
      <c r="F601" s="129"/>
      <c r="R601" s="122"/>
    </row>
    <row r="602" ht="14.25" customHeight="1">
      <c r="D602" s="129"/>
      <c r="E602" s="129"/>
      <c r="F602" s="129"/>
      <c r="R602" s="122"/>
    </row>
    <row r="603" ht="14.25" customHeight="1">
      <c r="D603" s="129"/>
      <c r="E603" s="129"/>
      <c r="F603" s="129"/>
      <c r="R603" s="122"/>
    </row>
    <row r="604" ht="14.25" customHeight="1">
      <c r="D604" s="129"/>
      <c r="E604" s="129"/>
      <c r="F604" s="129"/>
      <c r="R604" s="122"/>
    </row>
    <row r="605" ht="14.25" customHeight="1">
      <c r="D605" s="129"/>
      <c r="E605" s="129"/>
      <c r="F605" s="129"/>
      <c r="R605" s="122"/>
    </row>
    <row r="606" ht="14.25" customHeight="1">
      <c r="D606" s="129"/>
      <c r="E606" s="129"/>
      <c r="F606" s="129"/>
      <c r="R606" s="122"/>
    </row>
    <row r="607" ht="14.25" customHeight="1">
      <c r="D607" s="129"/>
      <c r="E607" s="129"/>
      <c r="F607" s="129"/>
      <c r="R607" s="122"/>
    </row>
    <row r="608" ht="14.25" customHeight="1">
      <c r="D608" s="129"/>
      <c r="E608" s="129"/>
      <c r="F608" s="129"/>
      <c r="R608" s="122"/>
    </row>
    <row r="609" ht="14.25" customHeight="1">
      <c r="D609" s="129"/>
      <c r="E609" s="129"/>
      <c r="F609" s="129"/>
      <c r="R609" s="122"/>
    </row>
    <row r="610" ht="14.25" customHeight="1">
      <c r="D610" s="129"/>
      <c r="E610" s="129"/>
      <c r="F610" s="129"/>
      <c r="R610" s="122"/>
    </row>
    <row r="611" ht="14.25" customHeight="1">
      <c r="D611" s="129"/>
      <c r="E611" s="129"/>
      <c r="F611" s="129"/>
      <c r="R611" s="122"/>
    </row>
    <row r="612" ht="14.25" customHeight="1">
      <c r="D612" s="129"/>
      <c r="E612" s="129"/>
      <c r="F612" s="129"/>
      <c r="R612" s="122"/>
    </row>
    <row r="613" ht="14.25" customHeight="1">
      <c r="D613" s="129"/>
      <c r="E613" s="129"/>
      <c r="F613" s="129"/>
      <c r="R613" s="122"/>
    </row>
    <row r="614" ht="14.25" customHeight="1">
      <c r="D614" s="129"/>
      <c r="E614" s="129"/>
      <c r="F614" s="129"/>
      <c r="R614" s="122"/>
    </row>
    <row r="615" ht="14.25" customHeight="1">
      <c r="D615" s="129"/>
      <c r="E615" s="129"/>
      <c r="F615" s="129"/>
      <c r="R615" s="122"/>
    </row>
    <row r="616" ht="14.25" customHeight="1">
      <c r="D616" s="129"/>
      <c r="E616" s="129"/>
      <c r="F616" s="129"/>
      <c r="R616" s="122"/>
    </row>
    <row r="617" ht="14.25" customHeight="1">
      <c r="D617" s="129"/>
      <c r="E617" s="129"/>
      <c r="F617" s="129"/>
      <c r="R617" s="122"/>
    </row>
    <row r="618" ht="14.25" customHeight="1">
      <c r="D618" s="129"/>
      <c r="E618" s="129"/>
      <c r="F618" s="129"/>
      <c r="R618" s="122"/>
    </row>
    <row r="619" ht="14.25" customHeight="1">
      <c r="D619" s="129"/>
      <c r="E619" s="129"/>
      <c r="F619" s="129"/>
      <c r="R619" s="122"/>
    </row>
    <row r="620" ht="14.25" customHeight="1">
      <c r="D620" s="129"/>
      <c r="E620" s="129"/>
      <c r="F620" s="129"/>
      <c r="R620" s="122"/>
    </row>
    <row r="621" ht="14.25" customHeight="1">
      <c r="D621" s="129"/>
      <c r="E621" s="129"/>
      <c r="F621" s="129"/>
      <c r="R621" s="122"/>
    </row>
    <row r="622" ht="14.25" customHeight="1">
      <c r="D622" s="129"/>
      <c r="E622" s="129"/>
      <c r="F622" s="129"/>
      <c r="R622" s="122"/>
    </row>
    <row r="623" ht="14.25" customHeight="1">
      <c r="D623" s="129"/>
      <c r="E623" s="129"/>
      <c r="F623" s="129"/>
      <c r="R623" s="122"/>
    </row>
    <row r="624" ht="14.25" customHeight="1">
      <c r="D624" s="129"/>
      <c r="E624" s="129"/>
      <c r="F624" s="129"/>
      <c r="R624" s="122"/>
    </row>
    <row r="625" ht="14.25" customHeight="1">
      <c r="D625" s="129"/>
      <c r="E625" s="129"/>
      <c r="F625" s="129"/>
      <c r="R625" s="122"/>
    </row>
    <row r="626" ht="14.25" customHeight="1">
      <c r="D626" s="129"/>
      <c r="E626" s="129"/>
      <c r="F626" s="129"/>
      <c r="R626" s="122"/>
    </row>
    <row r="627" ht="14.25" customHeight="1">
      <c r="D627" s="129"/>
      <c r="E627" s="129"/>
      <c r="F627" s="129"/>
      <c r="R627" s="122"/>
    </row>
    <row r="628" ht="14.25" customHeight="1">
      <c r="D628" s="129"/>
      <c r="E628" s="129"/>
      <c r="F628" s="129"/>
      <c r="R628" s="122"/>
    </row>
    <row r="629" ht="14.25" customHeight="1">
      <c r="D629" s="129"/>
      <c r="E629" s="129"/>
      <c r="F629" s="129"/>
      <c r="R629" s="122"/>
    </row>
    <row r="630" ht="14.25" customHeight="1">
      <c r="D630" s="129"/>
      <c r="E630" s="129"/>
      <c r="F630" s="129"/>
      <c r="R630" s="122"/>
    </row>
    <row r="631" ht="14.25" customHeight="1">
      <c r="D631" s="129"/>
      <c r="E631" s="129"/>
      <c r="F631" s="129"/>
      <c r="R631" s="122"/>
    </row>
    <row r="632" ht="14.25" customHeight="1">
      <c r="D632" s="129"/>
      <c r="E632" s="129"/>
      <c r="F632" s="129"/>
      <c r="R632" s="122"/>
    </row>
    <row r="633" ht="14.25" customHeight="1">
      <c r="D633" s="129"/>
      <c r="E633" s="129"/>
      <c r="F633" s="129"/>
      <c r="R633" s="122"/>
    </row>
    <row r="634" ht="14.25" customHeight="1">
      <c r="D634" s="129"/>
      <c r="E634" s="129"/>
      <c r="F634" s="129"/>
      <c r="R634" s="122"/>
    </row>
    <row r="635" ht="14.25" customHeight="1">
      <c r="D635" s="129"/>
      <c r="E635" s="129"/>
      <c r="F635" s="129"/>
      <c r="R635" s="122"/>
    </row>
    <row r="636" ht="14.25" customHeight="1">
      <c r="D636" s="129"/>
      <c r="E636" s="129"/>
      <c r="F636" s="129"/>
      <c r="R636" s="122"/>
    </row>
    <row r="637" ht="14.25" customHeight="1">
      <c r="D637" s="129"/>
      <c r="E637" s="129"/>
      <c r="F637" s="129"/>
      <c r="R637" s="122"/>
    </row>
    <row r="638" ht="14.25" customHeight="1">
      <c r="D638" s="129"/>
      <c r="E638" s="129"/>
      <c r="F638" s="129"/>
      <c r="R638" s="122"/>
    </row>
    <row r="639" ht="14.25" customHeight="1">
      <c r="D639" s="129"/>
      <c r="E639" s="129"/>
      <c r="F639" s="129"/>
      <c r="R639" s="122"/>
    </row>
    <row r="640" ht="14.25" customHeight="1">
      <c r="D640" s="129"/>
      <c r="E640" s="129"/>
      <c r="F640" s="129"/>
      <c r="R640" s="122"/>
    </row>
    <row r="641" ht="14.25" customHeight="1">
      <c r="D641" s="129"/>
      <c r="E641" s="129"/>
      <c r="F641" s="129"/>
      <c r="R641" s="122"/>
    </row>
    <row r="642" ht="14.25" customHeight="1">
      <c r="D642" s="129"/>
      <c r="E642" s="129"/>
      <c r="F642" s="129"/>
      <c r="R642" s="122"/>
    </row>
    <row r="643" ht="14.25" customHeight="1">
      <c r="D643" s="129"/>
      <c r="E643" s="129"/>
      <c r="F643" s="129"/>
      <c r="R643" s="122"/>
    </row>
    <row r="644" ht="14.25" customHeight="1">
      <c r="D644" s="129"/>
      <c r="E644" s="129"/>
      <c r="F644" s="129"/>
      <c r="R644" s="122"/>
    </row>
    <row r="645" ht="14.25" customHeight="1">
      <c r="D645" s="129"/>
      <c r="E645" s="129"/>
      <c r="F645" s="129"/>
      <c r="R645" s="122"/>
    </row>
    <row r="646" ht="14.25" customHeight="1">
      <c r="D646" s="129"/>
      <c r="E646" s="129"/>
      <c r="F646" s="129"/>
      <c r="R646" s="122"/>
    </row>
    <row r="647" ht="14.25" customHeight="1">
      <c r="D647" s="129"/>
      <c r="E647" s="129"/>
      <c r="F647" s="129"/>
      <c r="R647" s="122"/>
    </row>
    <row r="648" ht="14.25" customHeight="1">
      <c r="D648" s="129"/>
      <c r="E648" s="129"/>
      <c r="F648" s="129"/>
      <c r="R648" s="122"/>
    </row>
    <row r="649" ht="14.25" customHeight="1">
      <c r="D649" s="129"/>
      <c r="E649" s="129"/>
      <c r="F649" s="129"/>
      <c r="R649" s="122"/>
    </row>
    <row r="650" ht="14.25" customHeight="1">
      <c r="D650" s="129"/>
      <c r="E650" s="129"/>
      <c r="F650" s="129"/>
      <c r="R650" s="122"/>
    </row>
    <row r="651" ht="14.25" customHeight="1">
      <c r="D651" s="129"/>
      <c r="E651" s="129"/>
      <c r="F651" s="129"/>
      <c r="R651" s="122"/>
    </row>
    <row r="652" ht="14.25" customHeight="1">
      <c r="D652" s="129"/>
      <c r="E652" s="129"/>
      <c r="F652" s="129"/>
      <c r="R652" s="122"/>
    </row>
    <row r="653" ht="14.25" customHeight="1">
      <c r="D653" s="129"/>
      <c r="E653" s="129"/>
      <c r="F653" s="129"/>
      <c r="R653" s="122"/>
    </row>
    <row r="654" ht="14.25" customHeight="1">
      <c r="D654" s="129"/>
      <c r="E654" s="129"/>
      <c r="F654" s="129"/>
      <c r="R654" s="122"/>
    </row>
    <row r="655" ht="14.25" customHeight="1">
      <c r="D655" s="129"/>
      <c r="E655" s="129"/>
      <c r="F655" s="129"/>
      <c r="R655" s="122"/>
    </row>
    <row r="656" ht="14.25" customHeight="1">
      <c r="D656" s="129"/>
      <c r="E656" s="129"/>
      <c r="F656" s="129"/>
      <c r="R656" s="122"/>
    </row>
    <row r="657" ht="14.25" customHeight="1">
      <c r="D657" s="129"/>
      <c r="E657" s="129"/>
      <c r="F657" s="129"/>
      <c r="R657" s="122"/>
    </row>
    <row r="658" ht="14.25" customHeight="1">
      <c r="D658" s="129"/>
      <c r="E658" s="129"/>
      <c r="F658" s="129"/>
      <c r="R658" s="122"/>
    </row>
    <row r="659" ht="14.25" customHeight="1">
      <c r="D659" s="129"/>
      <c r="E659" s="129"/>
      <c r="F659" s="129"/>
      <c r="R659" s="122"/>
    </row>
    <row r="660" ht="14.25" customHeight="1">
      <c r="D660" s="129"/>
      <c r="E660" s="129"/>
      <c r="F660" s="129"/>
      <c r="R660" s="122"/>
    </row>
    <row r="661" ht="14.25" customHeight="1">
      <c r="D661" s="129"/>
      <c r="E661" s="129"/>
      <c r="F661" s="129"/>
      <c r="R661" s="122"/>
    </row>
    <row r="662" ht="14.25" customHeight="1">
      <c r="D662" s="129"/>
      <c r="E662" s="129"/>
      <c r="F662" s="129"/>
      <c r="R662" s="122"/>
    </row>
    <row r="663" ht="14.25" customHeight="1">
      <c r="D663" s="129"/>
      <c r="E663" s="129"/>
      <c r="F663" s="129"/>
      <c r="R663" s="122"/>
    </row>
    <row r="664" ht="14.25" customHeight="1">
      <c r="D664" s="129"/>
      <c r="E664" s="129"/>
      <c r="F664" s="129"/>
      <c r="R664" s="122"/>
    </row>
    <row r="665" ht="14.25" customHeight="1">
      <c r="D665" s="129"/>
      <c r="E665" s="129"/>
      <c r="F665" s="129"/>
      <c r="R665" s="122"/>
    </row>
    <row r="666" ht="14.25" customHeight="1">
      <c r="D666" s="129"/>
      <c r="E666" s="129"/>
      <c r="F666" s="129"/>
      <c r="R666" s="122"/>
    </row>
    <row r="667" ht="14.25" customHeight="1">
      <c r="D667" s="129"/>
      <c r="E667" s="129"/>
      <c r="F667" s="129"/>
      <c r="R667" s="122"/>
    </row>
    <row r="668" ht="14.25" customHeight="1">
      <c r="D668" s="129"/>
      <c r="E668" s="129"/>
      <c r="F668" s="129"/>
      <c r="R668" s="122"/>
    </row>
    <row r="669" ht="14.25" customHeight="1">
      <c r="D669" s="129"/>
      <c r="E669" s="129"/>
      <c r="F669" s="129"/>
      <c r="R669" s="122"/>
    </row>
    <row r="670" ht="14.25" customHeight="1">
      <c r="D670" s="129"/>
      <c r="E670" s="129"/>
      <c r="F670" s="129"/>
      <c r="R670" s="122"/>
    </row>
    <row r="671" ht="14.25" customHeight="1">
      <c r="D671" s="129"/>
      <c r="E671" s="129"/>
      <c r="F671" s="129"/>
      <c r="R671" s="122"/>
    </row>
    <row r="672" ht="14.25" customHeight="1">
      <c r="D672" s="129"/>
      <c r="E672" s="129"/>
      <c r="F672" s="129"/>
      <c r="R672" s="122"/>
    </row>
    <row r="673" ht="14.25" customHeight="1">
      <c r="D673" s="129"/>
      <c r="E673" s="129"/>
      <c r="F673" s="129"/>
      <c r="R673" s="122"/>
    </row>
    <row r="674" ht="14.25" customHeight="1">
      <c r="D674" s="129"/>
      <c r="E674" s="129"/>
      <c r="F674" s="129"/>
      <c r="R674" s="122"/>
    </row>
    <row r="675" ht="14.25" customHeight="1">
      <c r="D675" s="129"/>
      <c r="E675" s="129"/>
      <c r="F675" s="129"/>
      <c r="R675" s="122"/>
    </row>
    <row r="676" ht="14.25" customHeight="1">
      <c r="D676" s="129"/>
      <c r="E676" s="129"/>
      <c r="F676" s="129"/>
      <c r="R676" s="122"/>
    </row>
    <row r="677" ht="14.25" customHeight="1">
      <c r="D677" s="129"/>
      <c r="E677" s="129"/>
      <c r="F677" s="129"/>
      <c r="R677" s="122"/>
    </row>
    <row r="678" ht="14.25" customHeight="1">
      <c r="D678" s="129"/>
      <c r="E678" s="129"/>
      <c r="F678" s="129"/>
      <c r="R678" s="122"/>
    </row>
    <row r="679" ht="14.25" customHeight="1">
      <c r="D679" s="129"/>
      <c r="E679" s="129"/>
      <c r="F679" s="129"/>
      <c r="R679" s="122"/>
    </row>
    <row r="680" ht="14.25" customHeight="1">
      <c r="D680" s="129"/>
      <c r="E680" s="129"/>
      <c r="F680" s="129"/>
      <c r="R680" s="122"/>
    </row>
    <row r="681" ht="14.25" customHeight="1">
      <c r="D681" s="129"/>
      <c r="E681" s="129"/>
      <c r="F681" s="129"/>
      <c r="R681" s="122"/>
    </row>
    <row r="682" ht="14.25" customHeight="1">
      <c r="D682" s="129"/>
      <c r="E682" s="129"/>
      <c r="F682" s="129"/>
      <c r="R682" s="122"/>
    </row>
    <row r="683" ht="14.25" customHeight="1">
      <c r="D683" s="129"/>
      <c r="E683" s="129"/>
      <c r="F683" s="129"/>
      <c r="R683" s="122"/>
    </row>
    <row r="684" ht="14.25" customHeight="1">
      <c r="D684" s="129"/>
      <c r="E684" s="129"/>
      <c r="F684" s="129"/>
      <c r="R684" s="122"/>
    </row>
    <row r="685" ht="14.25" customHeight="1">
      <c r="D685" s="129"/>
      <c r="E685" s="129"/>
      <c r="F685" s="129"/>
      <c r="R685" s="122"/>
    </row>
    <row r="686" ht="14.25" customHeight="1">
      <c r="D686" s="129"/>
      <c r="E686" s="129"/>
      <c r="F686" s="129"/>
      <c r="R686" s="122"/>
    </row>
    <row r="687" ht="14.25" customHeight="1">
      <c r="D687" s="129"/>
      <c r="E687" s="129"/>
      <c r="F687" s="129"/>
      <c r="R687" s="122"/>
    </row>
    <row r="688" ht="14.25" customHeight="1">
      <c r="D688" s="129"/>
      <c r="E688" s="129"/>
      <c r="F688" s="129"/>
      <c r="R688" s="122"/>
    </row>
    <row r="689" ht="14.25" customHeight="1">
      <c r="D689" s="129"/>
      <c r="E689" s="129"/>
      <c r="F689" s="129"/>
      <c r="R689" s="122"/>
    </row>
    <row r="690" ht="14.25" customHeight="1">
      <c r="D690" s="129"/>
      <c r="E690" s="129"/>
      <c r="F690" s="129"/>
      <c r="R690" s="122"/>
    </row>
    <row r="691" ht="14.25" customHeight="1">
      <c r="D691" s="129"/>
      <c r="E691" s="129"/>
      <c r="F691" s="129"/>
      <c r="R691" s="122"/>
    </row>
    <row r="692" ht="14.25" customHeight="1">
      <c r="D692" s="129"/>
      <c r="E692" s="129"/>
      <c r="F692" s="129"/>
      <c r="R692" s="122"/>
    </row>
    <row r="693" ht="14.25" customHeight="1">
      <c r="D693" s="129"/>
      <c r="E693" s="129"/>
      <c r="F693" s="129"/>
      <c r="R693" s="122"/>
    </row>
    <row r="694" ht="14.25" customHeight="1">
      <c r="D694" s="129"/>
      <c r="E694" s="129"/>
      <c r="F694" s="129"/>
      <c r="R694" s="122"/>
    </row>
    <row r="695" ht="14.25" customHeight="1">
      <c r="D695" s="129"/>
      <c r="E695" s="129"/>
      <c r="F695" s="129"/>
      <c r="R695" s="122"/>
    </row>
    <row r="696" ht="14.25" customHeight="1">
      <c r="D696" s="129"/>
      <c r="E696" s="129"/>
      <c r="F696" s="129"/>
      <c r="R696" s="122"/>
    </row>
    <row r="697" ht="14.25" customHeight="1">
      <c r="D697" s="129"/>
      <c r="E697" s="129"/>
      <c r="F697" s="129"/>
      <c r="R697" s="122"/>
    </row>
    <row r="698" ht="14.25" customHeight="1">
      <c r="D698" s="129"/>
      <c r="E698" s="129"/>
      <c r="F698" s="129"/>
      <c r="R698" s="122"/>
    </row>
    <row r="699" ht="14.25" customHeight="1">
      <c r="D699" s="129"/>
      <c r="E699" s="129"/>
      <c r="F699" s="129"/>
      <c r="R699" s="122"/>
    </row>
    <row r="700" ht="14.25" customHeight="1">
      <c r="D700" s="129"/>
      <c r="E700" s="129"/>
      <c r="F700" s="129"/>
      <c r="R700" s="122"/>
    </row>
    <row r="701" ht="14.25" customHeight="1">
      <c r="D701" s="129"/>
      <c r="E701" s="129"/>
      <c r="F701" s="129"/>
      <c r="R701" s="122"/>
    </row>
    <row r="702" ht="14.25" customHeight="1">
      <c r="D702" s="129"/>
      <c r="E702" s="129"/>
      <c r="F702" s="129"/>
      <c r="R702" s="122"/>
    </row>
    <row r="703" ht="14.25" customHeight="1">
      <c r="D703" s="129"/>
      <c r="E703" s="129"/>
      <c r="F703" s="129"/>
      <c r="R703" s="122"/>
    </row>
    <row r="704" ht="14.25" customHeight="1">
      <c r="D704" s="129"/>
      <c r="E704" s="129"/>
      <c r="F704" s="129"/>
      <c r="R704" s="122"/>
    </row>
    <row r="705" ht="14.25" customHeight="1">
      <c r="D705" s="129"/>
      <c r="E705" s="129"/>
      <c r="F705" s="129"/>
      <c r="R705" s="122"/>
    </row>
    <row r="706" ht="14.25" customHeight="1">
      <c r="D706" s="129"/>
      <c r="E706" s="129"/>
      <c r="F706" s="129"/>
      <c r="R706" s="122"/>
    </row>
    <row r="707" ht="14.25" customHeight="1">
      <c r="D707" s="129"/>
      <c r="E707" s="129"/>
      <c r="F707" s="129"/>
      <c r="R707" s="122"/>
    </row>
    <row r="708" ht="14.25" customHeight="1">
      <c r="D708" s="129"/>
      <c r="E708" s="129"/>
      <c r="F708" s="129"/>
      <c r="R708" s="122"/>
    </row>
    <row r="709" ht="14.25" customHeight="1">
      <c r="D709" s="129"/>
      <c r="E709" s="129"/>
      <c r="F709" s="129"/>
      <c r="R709" s="122"/>
    </row>
    <row r="710" ht="14.25" customHeight="1">
      <c r="D710" s="129"/>
      <c r="E710" s="129"/>
      <c r="F710" s="129"/>
      <c r="R710" s="122"/>
    </row>
    <row r="711" ht="14.25" customHeight="1">
      <c r="D711" s="129"/>
      <c r="E711" s="129"/>
      <c r="F711" s="129"/>
      <c r="R711" s="122"/>
    </row>
    <row r="712" ht="14.25" customHeight="1">
      <c r="D712" s="129"/>
      <c r="E712" s="129"/>
      <c r="F712" s="129"/>
      <c r="R712" s="122"/>
    </row>
    <row r="713" ht="14.25" customHeight="1">
      <c r="D713" s="129"/>
      <c r="E713" s="129"/>
      <c r="F713" s="129"/>
      <c r="R713" s="122"/>
    </row>
    <row r="714" ht="14.25" customHeight="1">
      <c r="D714" s="129"/>
      <c r="E714" s="129"/>
      <c r="F714" s="129"/>
      <c r="R714" s="122"/>
    </row>
    <row r="715" ht="14.25" customHeight="1">
      <c r="D715" s="129"/>
      <c r="E715" s="129"/>
      <c r="F715" s="129"/>
      <c r="R715" s="122"/>
    </row>
    <row r="716" ht="14.25" customHeight="1">
      <c r="D716" s="129"/>
      <c r="E716" s="129"/>
      <c r="F716" s="129"/>
      <c r="R716" s="122"/>
    </row>
    <row r="717" ht="14.25" customHeight="1">
      <c r="D717" s="129"/>
      <c r="E717" s="129"/>
      <c r="F717" s="129"/>
      <c r="R717" s="122"/>
    </row>
    <row r="718" ht="14.25" customHeight="1">
      <c r="D718" s="129"/>
      <c r="E718" s="129"/>
      <c r="F718" s="129"/>
      <c r="R718" s="122"/>
    </row>
    <row r="719" ht="14.25" customHeight="1">
      <c r="D719" s="129"/>
      <c r="E719" s="129"/>
      <c r="F719" s="129"/>
      <c r="R719" s="122"/>
    </row>
    <row r="720" ht="14.25" customHeight="1">
      <c r="D720" s="129"/>
      <c r="E720" s="129"/>
      <c r="F720" s="129"/>
      <c r="R720" s="122"/>
    </row>
    <row r="721" ht="14.25" customHeight="1">
      <c r="D721" s="129"/>
      <c r="E721" s="129"/>
      <c r="F721" s="129"/>
      <c r="R721" s="122"/>
    </row>
    <row r="722" ht="14.25" customHeight="1">
      <c r="D722" s="129"/>
      <c r="E722" s="129"/>
      <c r="F722" s="129"/>
      <c r="R722" s="122"/>
    </row>
    <row r="723" ht="14.25" customHeight="1">
      <c r="D723" s="129"/>
      <c r="E723" s="129"/>
      <c r="F723" s="129"/>
      <c r="R723" s="122"/>
    </row>
    <row r="724" ht="14.25" customHeight="1">
      <c r="D724" s="129"/>
      <c r="E724" s="129"/>
      <c r="F724" s="129"/>
      <c r="R724" s="122"/>
    </row>
    <row r="725" ht="14.25" customHeight="1">
      <c r="D725" s="129"/>
      <c r="E725" s="129"/>
      <c r="F725" s="129"/>
      <c r="R725" s="122"/>
    </row>
    <row r="726" ht="14.25" customHeight="1">
      <c r="D726" s="129"/>
      <c r="E726" s="129"/>
      <c r="F726" s="129"/>
      <c r="R726" s="122"/>
    </row>
    <row r="727" ht="14.25" customHeight="1">
      <c r="D727" s="129"/>
      <c r="E727" s="129"/>
      <c r="F727" s="129"/>
      <c r="R727" s="122"/>
    </row>
    <row r="728" ht="14.25" customHeight="1">
      <c r="D728" s="129"/>
      <c r="E728" s="129"/>
      <c r="F728" s="129"/>
      <c r="R728" s="122"/>
    </row>
    <row r="729" ht="14.25" customHeight="1">
      <c r="D729" s="129"/>
      <c r="E729" s="129"/>
      <c r="F729" s="129"/>
      <c r="R729" s="122"/>
    </row>
    <row r="730" ht="14.25" customHeight="1">
      <c r="D730" s="129"/>
      <c r="E730" s="129"/>
      <c r="F730" s="129"/>
      <c r="R730" s="122"/>
    </row>
    <row r="731" ht="14.25" customHeight="1">
      <c r="D731" s="129"/>
      <c r="E731" s="129"/>
      <c r="F731" s="129"/>
      <c r="R731" s="122"/>
    </row>
    <row r="732" ht="14.25" customHeight="1">
      <c r="D732" s="129"/>
      <c r="E732" s="129"/>
      <c r="F732" s="129"/>
      <c r="R732" s="122"/>
    </row>
    <row r="733" ht="14.25" customHeight="1">
      <c r="D733" s="129"/>
      <c r="E733" s="129"/>
      <c r="F733" s="129"/>
      <c r="R733" s="122"/>
    </row>
    <row r="734" ht="14.25" customHeight="1">
      <c r="D734" s="129"/>
      <c r="E734" s="129"/>
      <c r="F734" s="129"/>
      <c r="R734" s="122"/>
    </row>
    <row r="735" ht="14.25" customHeight="1">
      <c r="D735" s="129"/>
      <c r="E735" s="129"/>
      <c r="F735" s="129"/>
      <c r="R735" s="122"/>
    </row>
    <row r="736" ht="14.25" customHeight="1">
      <c r="D736" s="129"/>
      <c r="E736" s="129"/>
      <c r="F736" s="129"/>
      <c r="R736" s="122"/>
    </row>
    <row r="737" ht="14.25" customHeight="1">
      <c r="D737" s="129"/>
      <c r="E737" s="129"/>
      <c r="F737" s="129"/>
      <c r="R737" s="122"/>
    </row>
    <row r="738" ht="14.25" customHeight="1">
      <c r="D738" s="129"/>
      <c r="E738" s="129"/>
      <c r="F738" s="129"/>
      <c r="R738" s="122"/>
    </row>
    <row r="739" ht="14.25" customHeight="1">
      <c r="D739" s="129"/>
      <c r="E739" s="129"/>
      <c r="F739" s="129"/>
      <c r="R739" s="122"/>
    </row>
    <row r="740" ht="14.25" customHeight="1">
      <c r="D740" s="129"/>
      <c r="E740" s="129"/>
      <c r="F740" s="129"/>
      <c r="R740" s="122"/>
    </row>
    <row r="741" ht="14.25" customHeight="1">
      <c r="D741" s="129"/>
      <c r="E741" s="129"/>
      <c r="F741" s="129"/>
      <c r="R741" s="122"/>
    </row>
    <row r="742" ht="14.25" customHeight="1">
      <c r="D742" s="129"/>
      <c r="E742" s="129"/>
      <c r="F742" s="129"/>
      <c r="R742" s="122"/>
    </row>
    <row r="743" ht="14.25" customHeight="1">
      <c r="D743" s="129"/>
      <c r="E743" s="129"/>
      <c r="F743" s="129"/>
      <c r="R743" s="122"/>
    </row>
    <row r="744" ht="14.25" customHeight="1">
      <c r="D744" s="129"/>
      <c r="E744" s="129"/>
      <c r="F744" s="129"/>
      <c r="R744" s="122"/>
    </row>
    <row r="745" ht="14.25" customHeight="1">
      <c r="D745" s="129"/>
      <c r="E745" s="129"/>
      <c r="F745" s="129"/>
      <c r="R745" s="122"/>
    </row>
    <row r="746" ht="14.25" customHeight="1">
      <c r="D746" s="129"/>
      <c r="E746" s="129"/>
      <c r="F746" s="129"/>
      <c r="R746" s="122"/>
    </row>
    <row r="747" ht="14.25" customHeight="1">
      <c r="D747" s="129"/>
      <c r="E747" s="129"/>
      <c r="F747" s="129"/>
      <c r="R747" s="122"/>
    </row>
    <row r="748" ht="14.25" customHeight="1">
      <c r="D748" s="129"/>
      <c r="E748" s="129"/>
      <c r="F748" s="129"/>
      <c r="R748" s="122"/>
    </row>
    <row r="749" ht="14.25" customHeight="1">
      <c r="D749" s="129"/>
      <c r="E749" s="129"/>
      <c r="F749" s="129"/>
      <c r="R749" s="122"/>
    </row>
    <row r="750" ht="14.25" customHeight="1">
      <c r="D750" s="129"/>
      <c r="E750" s="129"/>
      <c r="F750" s="129"/>
      <c r="R750" s="122"/>
    </row>
    <row r="751" ht="14.25" customHeight="1">
      <c r="D751" s="129"/>
      <c r="E751" s="129"/>
      <c r="F751" s="129"/>
      <c r="R751" s="122"/>
    </row>
    <row r="752" ht="14.25" customHeight="1">
      <c r="D752" s="129"/>
      <c r="E752" s="129"/>
      <c r="F752" s="129"/>
      <c r="R752" s="122"/>
    </row>
    <row r="753" ht="14.25" customHeight="1">
      <c r="D753" s="129"/>
      <c r="E753" s="129"/>
      <c r="F753" s="129"/>
      <c r="R753" s="122"/>
    </row>
    <row r="754" ht="14.25" customHeight="1">
      <c r="D754" s="129"/>
      <c r="E754" s="129"/>
      <c r="F754" s="129"/>
      <c r="R754" s="122"/>
    </row>
    <row r="755" ht="14.25" customHeight="1">
      <c r="D755" s="129"/>
      <c r="E755" s="129"/>
      <c r="F755" s="129"/>
      <c r="R755" s="122"/>
    </row>
    <row r="756" ht="14.25" customHeight="1">
      <c r="D756" s="129"/>
      <c r="E756" s="129"/>
      <c r="F756" s="129"/>
      <c r="R756" s="122"/>
    </row>
    <row r="757" ht="14.25" customHeight="1">
      <c r="D757" s="129"/>
      <c r="E757" s="129"/>
      <c r="F757" s="129"/>
      <c r="R757" s="122"/>
    </row>
    <row r="758" ht="14.25" customHeight="1">
      <c r="D758" s="129"/>
      <c r="E758" s="129"/>
      <c r="F758" s="129"/>
      <c r="R758" s="122"/>
    </row>
    <row r="759" ht="14.25" customHeight="1">
      <c r="D759" s="129"/>
      <c r="E759" s="129"/>
      <c r="F759" s="129"/>
      <c r="R759" s="122"/>
    </row>
    <row r="760" ht="14.25" customHeight="1">
      <c r="D760" s="129"/>
      <c r="E760" s="129"/>
      <c r="F760" s="129"/>
      <c r="R760" s="122"/>
    </row>
    <row r="761" ht="14.25" customHeight="1">
      <c r="D761" s="129"/>
      <c r="E761" s="129"/>
      <c r="F761" s="129"/>
      <c r="R761" s="122"/>
    </row>
    <row r="762" ht="14.25" customHeight="1">
      <c r="D762" s="129"/>
      <c r="E762" s="129"/>
      <c r="F762" s="129"/>
      <c r="R762" s="122"/>
    </row>
    <row r="763" ht="14.25" customHeight="1">
      <c r="D763" s="129"/>
      <c r="E763" s="129"/>
      <c r="F763" s="129"/>
      <c r="R763" s="122"/>
    </row>
    <row r="764" ht="14.25" customHeight="1">
      <c r="D764" s="129"/>
      <c r="E764" s="129"/>
      <c r="F764" s="129"/>
      <c r="R764" s="122"/>
    </row>
    <row r="765" ht="14.25" customHeight="1">
      <c r="D765" s="129"/>
      <c r="E765" s="129"/>
      <c r="F765" s="129"/>
      <c r="R765" s="122"/>
    </row>
    <row r="766" ht="14.25" customHeight="1">
      <c r="D766" s="129"/>
      <c r="E766" s="129"/>
      <c r="F766" s="129"/>
      <c r="R766" s="122"/>
    </row>
    <row r="767" ht="14.25" customHeight="1">
      <c r="D767" s="129"/>
      <c r="E767" s="129"/>
      <c r="F767" s="129"/>
      <c r="R767" s="122"/>
    </row>
    <row r="768" ht="14.25" customHeight="1">
      <c r="D768" s="129"/>
      <c r="E768" s="129"/>
      <c r="F768" s="129"/>
      <c r="R768" s="122"/>
    </row>
    <row r="769" ht="14.25" customHeight="1">
      <c r="D769" s="129"/>
      <c r="E769" s="129"/>
      <c r="F769" s="129"/>
      <c r="R769" s="122"/>
    </row>
    <row r="770" ht="14.25" customHeight="1">
      <c r="D770" s="129"/>
      <c r="E770" s="129"/>
      <c r="F770" s="129"/>
      <c r="R770" s="122"/>
    </row>
    <row r="771" ht="14.25" customHeight="1">
      <c r="D771" s="129"/>
      <c r="E771" s="129"/>
      <c r="F771" s="129"/>
      <c r="R771" s="122"/>
    </row>
    <row r="772" ht="14.25" customHeight="1">
      <c r="D772" s="129"/>
      <c r="E772" s="129"/>
      <c r="F772" s="129"/>
      <c r="R772" s="122"/>
    </row>
    <row r="773" ht="14.25" customHeight="1">
      <c r="D773" s="129"/>
      <c r="E773" s="129"/>
      <c r="F773" s="129"/>
      <c r="R773" s="122"/>
    </row>
    <row r="774" ht="14.25" customHeight="1">
      <c r="D774" s="129"/>
      <c r="E774" s="129"/>
      <c r="F774" s="129"/>
      <c r="R774" s="122"/>
    </row>
    <row r="775" ht="14.25" customHeight="1">
      <c r="D775" s="129"/>
      <c r="E775" s="129"/>
      <c r="F775" s="129"/>
      <c r="R775" s="122"/>
    </row>
    <row r="776" ht="14.25" customHeight="1">
      <c r="D776" s="129"/>
      <c r="E776" s="129"/>
      <c r="F776" s="129"/>
      <c r="R776" s="122"/>
    </row>
    <row r="777" ht="14.25" customHeight="1">
      <c r="D777" s="129"/>
      <c r="E777" s="129"/>
      <c r="F777" s="129"/>
      <c r="R777" s="122"/>
    </row>
    <row r="778" ht="14.25" customHeight="1">
      <c r="D778" s="129"/>
      <c r="E778" s="129"/>
      <c r="F778" s="129"/>
      <c r="R778" s="122"/>
    </row>
    <row r="779" ht="14.25" customHeight="1">
      <c r="D779" s="129"/>
      <c r="E779" s="129"/>
      <c r="F779" s="129"/>
      <c r="R779" s="122"/>
    </row>
    <row r="780" ht="14.25" customHeight="1">
      <c r="D780" s="129"/>
      <c r="E780" s="129"/>
      <c r="F780" s="129"/>
      <c r="R780" s="122"/>
    </row>
    <row r="781" ht="14.25" customHeight="1">
      <c r="D781" s="129"/>
      <c r="E781" s="129"/>
      <c r="F781" s="129"/>
      <c r="R781" s="122"/>
    </row>
    <row r="782" ht="14.25" customHeight="1">
      <c r="D782" s="129"/>
      <c r="E782" s="129"/>
      <c r="F782" s="129"/>
      <c r="R782" s="122"/>
    </row>
    <row r="783" ht="14.25" customHeight="1">
      <c r="D783" s="129"/>
      <c r="E783" s="129"/>
      <c r="F783" s="129"/>
      <c r="R783" s="122"/>
    </row>
    <row r="784" ht="14.25" customHeight="1">
      <c r="D784" s="129"/>
      <c r="E784" s="129"/>
      <c r="F784" s="129"/>
      <c r="R784" s="122"/>
    </row>
    <row r="785" ht="14.25" customHeight="1">
      <c r="D785" s="129"/>
      <c r="E785" s="129"/>
      <c r="F785" s="129"/>
      <c r="R785" s="122"/>
    </row>
    <row r="786" ht="14.25" customHeight="1">
      <c r="D786" s="129"/>
      <c r="E786" s="129"/>
      <c r="F786" s="129"/>
      <c r="R786" s="122"/>
    </row>
    <row r="787" ht="14.25" customHeight="1">
      <c r="D787" s="129"/>
      <c r="E787" s="129"/>
      <c r="F787" s="129"/>
      <c r="R787" s="122"/>
    </row>
    <row r="788" ht="14.25" customHeight="1">
      <c r="D788" s="129"/>
      <c r="E788" s="129"/>
      <c r="F788" s="129"/>
      <c r="R788" s="122"/>
    </row>
    <row r="789" ht="14.25" customHeight="1">
      <c r="D789" s="129"/>
      <c r="E789" s="129"/>
      <c r="F789" s="129"/>
      <c r="R789" s="122"/>
    </row>
    <row r="790" ht="14.25" customHeight="1">
      <c r="D790" s="129"/>
      <c r="E790" s="129"/>
      <c r="F790" s="129"/>
      <c r="R790" s="122"/>
    </row>
    <row r="791" ht="14.25" customHeight="1">
      <c r="D791" s="129"/>
      <c r="E791" s="129"/>
      <c r="F791" s="129"/>
      <c r="R791" s="122"/>
    </row>
    <row r="792" ht="14.25" customHeight="1">
      <c r="D792" s="129"/>
      <c r="E792" s="129"/>
      <c r="F792" s="129"/>
      <c r="R792" s="122"/>
    </row>
    <row r="793" ht="14.25" customHeight="1">
      <c r="D793" s="129"/>
      <c r="E793" s="129"/>
      <c r="F793" s="129"/>
      <c r="R793" s="122"/>
    </row>
    <row r="794" ht="14.25" customHeight="1">
      <c r="D794" s="129"/>
      <c r="E794" s="129"/>
      <c r="F794" s="129"/>
      <c r="R794" s="122"/>
    </row>
    <row r="795" ht="14.25" customHeight="1">
      <c r="D795" s="129"/>
      <c r="E795" s="129"/>
      <c r="F795" s="129"/>
      <c r="R795" s="122"/>
    </row>
    <row r="796" ht="14.25" customHeight="1">
      <c r="D796" s="129"/>
      <c r="E796" s="129"/>
      <c r="F796" s="129"/>
      <c r="R796" s="122"/>
    </row>
    <row r="797" ht="14.25" customHeight="1">
      <c r="D797" s="129"/>
      <c r="E797" s="129"/>
      <c r="F797" s="129"/>
      <c r="R797" s="122"/>
    </row>
    <row r="798" ht="14.25" customHeight="1">
      <c r="D798" s="129"/>
      <c r="E798" s="129"/>
      <c r="F798" s="129"/>
      <c r="R798" s="122"/>
    </row>
    <row r="799" ht="14.25" customHeight="1">
      <c r="D799" s="129"/>
      <c r="E799" s="129"/>
      <c r="F799" s="129"/>
      <c r="R799" s="122"/>
    </row>
    <row r="800" ht="14.25" customHeight="1">
      <c r="D800" s="129"/>
      <c r="E800" s="129"/>
      <c r="F800" s="129"/>
      <c r="R800" s="122"/>
    </row>
    <row r="801" ht="14.25" customHeight="1">
      <c r="D801" s="129"/>
      <c r="E801" s="129"/>
      <c r="F801" s="129"/>
      <c r="R801" s="122"/>
    </row>
    <row r="802" ht="14.25" customHeight="1">
      <c r="D802" s="129"/>
      <c r="E802" s="129"/>
      <c r="F802" s="129"/>
      <c r="R802" s="122"/>
    </row>
    <row r="803" ht="14.25" customHeight="1">
      <c r="D803" s="129"/>
      <c r="E803" s="129"/>
      <c r="F803" s="129"/>
      <c r="R803" s="122"/>
    </row>
    <row r="804" ht="14.25" customHeight="1">
      <c r="D804" s="129"/>
      <c r="E804" s="129"/>
      <c r="F804" s="129"/>
      <c r="R804" s="122"/>
    </row>
    <row r="805" ht="14.25" customHeight="1">
      <c r="D805" s="129"/>
      <c r="E805" s="129"/>
      <c r="F805" s="129"/>
      <c r="R805" s="122"/>
    </row>
    <row r="806" ht="14.25" customHeight="1">
      <c r="D806" s="129"/>
      <c r="E806" s="129"/>
      <c r="F806" s="129"/>
      <c r="R806" s="122"/>
    </row>
    <row r="807" ht="14.25" customHeight="1">
      <c r="D807" s="129"/>
      <c r="E807" s="129"/>
      <c r="F807" s="129"/>
      <c r="R807" s="122"/>
    </row>
    <row r="808" ht="14.25" customHeight="1">
      <c r="D808" s="129"/>
      <c r="E808" s="129"/>
      <c r="F808" s="129"/>
      <c r="R808" s="122"/>
    </row>
    <row r="809" ht="14.25" customHeight="1">
      <c r="D809" s="129"/>
      <c r="E809" s="129"/>
      <c r="F809" s="129"/>
      <c r="R809" s="122"/>
    </row>
    <row r="810" ht="14.25" customHeight="1">
      <c r="D810" s="129"/>
      <c r="E810" s="129"/>
      <c r="F810" s="129"/>
      <c r="R810" s="122"/>
    </row>
    <row r="811" ht="14.25" customHeight="1">
      <c r="D811" s="129"/>
      <c r="E811" s="129"/>
      <c r="F811" s="129"/>
      <c r="R811" s="122"/>
    </row>
    <row r="812" ht="14.25" customHeight="1">
      <c r="D812" s="129"/>
      <c r="E812" s="129"/>
      <c r="F812" s="129"/>
      <c r="R812" s="122"/>
    </row>
    <row r="813" ht="14.25" customHeight="1">
      <c r="D813" s="129"/>
      <c r="E813" s="129"/>
      <c r="F813" s="129"/>
      <c r="R813" s="122"/>
    </row>
    <row r="814" ht="14.25" customHeight="1">
      <c r="D814" s="129"/>
      <c r="E814" s="129"/>
      <c r="F814" s="129"/>
      <c r="R814" s="122"/>
    </row>
    <row r="815" ht="14.25" customHeight="1">
      <c r="D815" s="129"/>
      <c r="E815" s="129"/>
      <c r="F815" s="129"/>
      <c r="R815" s="122"/>
    </row>
    <row r="816" ht="14.25" customHeight="1">
      <c r="D816" s="129"/>
      <c r="E816" s="129"/>
      <c r="F816" s="129"/>
      <c r="R816" s="122"/>
    </row>
    <row r="817" ht="14.25" customHeight="1">
      <c r="D817" s="129"/>
      <c r="E817" s="129"/>
      <c r="F817" s="129"/>
      <c r="R817" s="122"/>
    </row>
    <row r="818" ht="14.25" customHeight="1">
      <c r="D818" s="129"/>
      <c r="E818" s="129"/>
      <c r="F818" s="129"/>
      <c r="R818" s="122"/>
    </row>
    <row r="819" ht="14.25" customHeight="1">
      <c r="D819" s="129"/>
      <c r="E819" s="129"/>
      <c r="F819" s="129"/>
      <c r="R819" s="122"/>
    </row>
    <row r="820" ht="14.25" customHeight="1">
      <c r="D820" s="129"/>
      <c r="E820" s="129"/>
      <c r="F820" s="129"/>
      <c r="R820" s="122"/>
    </row>
    <row r="821" ht="14.25" customHeight="1">
      <c r="D821" s="129"/>
      <c r="E821" s="129"/>
      <c r="F821" s="129"/>
      <c r="R821" s="122"/>
    </row>
    <row r="822" ht="14.25" customHeight="1">
      <c r="D822" s="129"/>
      <c r="E822" s="129"/>
      <c r="F822" s="129"/>
      <c r="R822" s="122"/>
    </row>
    <row r="823" ht="14.25" customHeight="1">
      <c r="D823" s="129"/>
      <c r="E823" s="129"/>
      <c r="F823" s="129"/>
      <c r="R823" s="122"/>
    </row>
    <row r="824" ht="14.25" customHeight="1">
      <c r="D824" s="129"/>
      <c r="E824" s="129"/>
      <c r="F824" s="129"/>
      <c r="R824" s="122"/>
    </row>
    <row r="825" ht="14.25" customHeight="1">
      <c r="D825" s="129"/>
      <c r="E825" s="129"/>
      <c r="F825" s="129"/>
      <c r="R825" s="122"/>
    </row>
    <row r="826" ht="14.25" customHeight="1">
      <c r="D826" s="129"/>
      <c r="E826" s="129"/>
      <c r="F826" s="129"/>
      <c r="R826" s="122"/>
    </row>
    <row r="827" ht="14.25" customHeight="1">
      <c r="D827" s="129"/>
      <c r="E827" s="129"/>
      <c r="F827" s="129"/>
      <c r="R827" s="122"/>
    </row>
    <row r="828" ht="14.25" customHeight="1">
      <c r="D828" s="129"/>
      <c r="E828" s="129"/>
      <c r="F828" s="129"/>
      <c r="R828" s="122"/>
    </row>
    <row r="829" ht="14.25" customHeight="1">
      <c r="D829" s="129"/>
      <c r="E829" s="129"/>
      <c r="F829" s="129"/>
      <c r="R829" s="122"/>
    </row>
    <row r="830" ht="14.25" customHeight="1">
      <c r="D830" s="129"/>
      <c r="E830" s="129"/>
      <c r="F830" s="129"/>
      <c r="R830" s="122"/>
    </row>
    <row r="831" ht="14.25" customHeight="1">
      <c r="D831" s="129"/>
      <c r="E831" s="129"/>
      <c r="F831" s="129"/>
      <c r="R831" s="122"/>
    </row>
    <row r="832" ht="14.25" customHeight="1">
      <c r="D832" s="129"/>
      <c r="E832" s="129"/>
      <c r="F832" s="129"/>
      <c r="R832" s="122"/>
    </row>
    <row r="833" ht="14.25" customHeight="1">
      <c r="D833" s="129"/>
      <c r="E833" s="129"/>
      <c r="F833" s="129"/>
      <c r="R833" s="122"/>
    </row>
    <row r="834" ht="14.25" customHeight="1">
      <c r="D834" s="129"/>
      <c r="E834" s="129"/>
      <c r="F834" s="129"/>
      <c r="R834" s="122"/>
    </row>
    <row r="835" ht="14.25" customHeight="1">
      <c r="D835" s="129"/>
      <c r="E835" s="129"/>
      <c r="F835" s="129"/>
      <c r="R835" s="122"/>
    </row>
    <row r="836" ht="14.25" customHeight="1">
      <c r="D836" s="129"/>
      <c r="E836" s="129"/>
      <c r="F836" s="129"/>
      <c r="R836" s="122"/>
    </row>
    <row r="837" ht="14.25" customHeight="1">
      <c r="D837" s="129"/>
      <c r="E837" s="129"/>
      <c r="F837" s="129"/>
      <c r="R837" s="122"/>
    </row>
    <row r="838" ht="14.25" customHeight="1">
      <c r="D838" s="129"/>
      <c r="E838" s="129"/>
      <c r="F838" s="129"/>
      <c r="R838" s="122"/>
    </row>
    <row r="839" ht="14.25" customHeight="1">
      <c r="D839" s="129"/>
      <c r="E839" s="129"/>
      <c r="F839" s="129"/>
      <c r="R839" s="122"/>
    </row>
    <row r="840" ht="14.25" customHeight="1">
      <c r="D840" s="129"/>
      <c r="E840" s="129"/>
      <c r="F840" s="129"/>
      <c r="R840" s="122"/>
    </row>
    <row r="841" ht="14.25" customHeight="1">
      <c r="D841" s="129"/>
      <c r="E841" s="129"/>
      <c r="F841" s="129"/>
      <c r="R841" s="122"/>
    </row>
    <row r="842" ht="14.25" customHeight="1">
      <c r="D842" s="129"/>
      <c r="E842" s="129"/>
      <c r="F842" s="129"/>
      <c r="R842" s="122"/>
    </row>
    <row r="843" ht="14.25" customHeight="1">
      <c r="D843" s="129"/>
      <c r="E843" s="129"/>
      <c r="F843" s="129"/>
      <c r="R843" s="122"/>
    </row>
    <row r="844" ht="14.25" customHeight="1">
      <c r="D844" s="129"/>
      <c r="E844" s="129"/>
      <c r="F844" s="129"/>
      <c r="R844" s="122"/>
    </row>
    <row r="845" ht="14.25" customHeight="1">
      <c r="D845" s="129"/>
      <c r="E845" s="129"/>
      <c r="F845" s="129"/>
      <c r="R845" s="122"/>
    </row>
    <row r="846" ht="14.25" customHeight="1">
      <c r="D846" s="129"/>
      <c r="E846" s="129"/>
      <c r="F846" s="129"/>
      <c r="R846" s="122"/>
    </row>
    <row r="847" ht="14.25" customHeight="1">
      <c r="D847" s="129"/>
      <c r="E847" s="129"/>
      <c r="F847" s="129"/>
      <c r="R847" s="122"/>
    </row>
    <row r="848" ht="14.25" customHeight="1">
      <c r="D848" s="129"/>
      <c r="E848" s="129"/>
      <c r="F848" s="129"/>
      <c r="R848" s="122"/>
    </row>
    <row r="849" ht="14.25" customHeight="1">
      <c r="D849" s="129"/>
      <c r="E849" s="129"/>
      <c r="F849" s="129"/>
      <c r="R849" s="122"/>
    </row>
    <row r="850" ht="14.25" customHeight="1">
      <c r="D850" s="129"/>
      <c r="E850" s="129"/>
      <c r="F850" s="129"/>
      <c r="R850" s="122"/>
    </row>
    <row r="851" ht="14.25" customHeight="1">
      <c r="D851" s="129"/>
      <c r="E851" s="129"/>
      <c r="F851" s="129"/>
      <c r="R851" s="122"/>
    </row>
    <row r="852" ht="14.25" customHeight="1">
      <c r="D852" s="129"/>
      <c r="E852" s="129"/>
      <c r="F852" s="129"/>
      <c r="R852" s="122"/>
    </row>
    <row r="853" ht="14.25" customHeight="1">
      <c r="D853" s="129"/>
      <c r="E853" s="129"/>
      <c r="F853" s="129"/>
      <c r="R853" s="122"/>
    </row>
    <row r="854" ht="14.25" customHeight="1">
      <c r="D854" s="129"/>
      <c r="E854" s="129"/>
      <c r="F854" s="129"/>
      <c r="R854" s="122"/>
    </row>
    <row r="855" ht="14.25" customHeight="1">
      <c r="D855" s="129"/>
      <c r="E855" s="129"/>
      <c r="F855" s="129"/>
      <c r="R855" s="122"/>
    </row>
    <row r="856" ht="14.25" customHeight="1">
      <c r="D856" s="129"/>
      <c r="E856" s="129"/>
      <c r="F856" s="129"/>
      <c r="R856" s="122"/>
    </row>
    <row r="857" ht="14.25" customHeight="1">
      <c r="D857" s="129"/>
      <c r="E857" s="129"/>
      <c r="F857" s="129"/>
      <c r="R857" s="122"/>
    </row>
    <row r="858" ht="14.25" customHeight="1">
      <c r="D858" s="129"/>
      <c r="E858" s="129"/>
      <c r="F858" s="129"/>
      <c r="R858" s="122"/>
    </row>
    <row r="859" ht="14.25" customHeight="1">
      <c r="D859" s="129"/>
      <c r="E859" s="129"/>
      <c r="F859" s="129"/>
      <c r="R859" s="122"/>
    </row>
    <row r="860" ht="14.25" customHeight="1">
      <c r="D860" s="129"/>
      <c r="E860" s="129"/>
      <c r="F860" s="129"/>
      <c r="R860" s="122"/>
    </row>
    <row r="861" ht="14.25" customHeight="1">
      <c r="D861" s="129"/>
      <c r="E861" s="129"/>
      <c r="F861" s="129"/>
      <c r="R861" s="122"/>
    </row>
    <row r="862" ht="14.25" customHeight="1">
      <c r="D862" s="129"/>
      <c r="E862" s="129"/>
      <c r="F862" s="129"/>
      <c r="R862" s="122"/>
    </row>
    <row r="863" ht="14.25" customHeight="1">
      <c r="D863" s="129"/>
      <c r="E863" s="129"/>
      <c r="F863" s="129"/>
      <c r="R863" s="122"/>
    </row>
    <row r="864" ht="14.25" customHeight="1">
      <c r="D864" s="129"/>
      <c r="E864" s="129"/>
      <c r="F864" s="129"/>
      <c r="R864" s="122"/>
    </row>
    <row r="865" ht="14.25" customHeight="1">
      <c r="D865" s="129"/>
      <c r="E865" s="129"/>
      <c r="F865" s="129"/>
      <c r="R865" s="122"/>
    </row>
    <row r="866" ht="14.25" customHeight="1">
      <c r="D866" s="129"/>
      <c r="E866" s="129"/>
      <c r="F866" s="129"/>
      <c r="R866" s="122"/>
    </row>
    <row r="867" ht="14.25" customHeight="1">
      <c r="D867" s="129"/>
      <c r="E867" s="129"/>
      <c r="F867" s="129"/>
      <c r="R867" s="122"/>
    </row>
    <row r="868" ht="14.25" customHeight="1">
      <c r="D868" s="129"/>
      <c r="E868" s="129"/>
      <c r="F868" s="129"/>
      <c r="R868" s="122"/>
    </row>
    <row r="869" ht="14.25" customHeight="1">
      <c r="D869" s="129"/>
      <c r="E869" s="129"/>
      <c r="F869" s="129"/>
      <c r="R869" s="122"/>
    </row>
    <row r="870" ht="14.25" customHeight="1">
      <c r="D870" s="129"/>
      <c r="E870" s="129"/>
      <c r="F870" s="129"/>
      <c r="R870" s="122"/>
    </row>
    <row r="871" ht="14.25" customHeight="1">
      <c r="D871" s="129"/>
      <c r="E871" s="129"/>
      <c r="F871" s="129"/>
      <c r="R871" s="122"/>
    </row>
    <row r="872" ht="14.25" customHeight="1">
      <c r="D872" s="129"/>
      <c r="E872" s="129"/>
      <c r="F872" s="129"/>
      <c r="R872" s="122"/>
    </row>
    <row r="873" ht="14.25" customHeight="1">
      <c r="D873" s="129"/>
      <c r="E873" s="129"/>
      <c r="F873" s="129"/>
      <c r="R873" s="122"/>
    </row>
    <row r="874" ht="14.25" customHeight="1">
      <c r="D874" s="129"/>
      <c r="E874" s="129"/>
      <c r="F874" s="129"/>
      <c r="R874" s="122"/>
    </row>
    <row r="875" ht="14.25" customHeight="1">
      <c r="D875" s="129"/>
      <c r="E875" s="129"/>
      <c r="F875" s="129"/>
      <c r="R875" s="122"/>
    </row>
    <row r="876" ht="14.25" customHeight="1">
      <c r="D876" s="129"/>
      <c r="E876" s="129"/>
      <c r="F876" s="129"/>
      <c r="R876" s="122"/>
    </row>
    <row r="877" ht="14.25" customHeight="1">
      <c r="D877" s="129"/>
      <c r="E877" s="129"/>
      <c r="F877" s="129"/>
      <c r="R877" s="122"/>
    </row>
    <row r="878" ht="14.25" customHeight="1">
      <c r="D878" s="129"/>
      <c r="E878" s="129"/>
      <c r="F878" s="129"/>
      <c r="R878" s="122"/>
    </row>
    <row r="879" ht="14.25" customHeight="1">
      <c r="D879" s="129"/>
      <c r="E879" s="129"/>
      <c r="F879" s="129"/>
      <c r="R879" s="122"/>
    </row>
    <row r="880" ht="14.25" customHeight="1">
      <c r="D880" s="129"/>
      <c r="E880" s="129"/>
      <c r="F880" s="129"/>
      <c r="R880" s="122"/>
    </row>
    <row r="881" ht="14.25" customHeight="1">
      <c r="D881" s="129"/>
      <c r="E881" s="129"/>
      <c r="F881" s="129"/>
      <c r="R881" s="122"/>
    </row>
    <row r="882" ht="14.25" customHeight="1">
      <c r="D882" s="129"/>
      <c r="E882" s="129"/>
      <c r="F882" s="129"/>
      <c r="R882" s="122"/>
    </row>
    <row r="883" ht="14.25" customHeight="1">
      <c r="D883" s="129"/>
      <c r="E883" s="129"/>
      <c r="F883" s="129"/>
      <c r="R883" s="122"/>
    </row>
    <row r="884" ht="14.25" customHeight="1">
      <c r="D884" s="129"/>
      <c r="E884" s="129"/>
      <c r="F884" s="129"/>
      <c r="R884" s="122"/>
    </row>
    <row r="885" ht="14.25" customHeight="1">
      <c r="D885" s="129"/>
      <c r="E885" s="129"/>
      <c r="F885" s="129"/>
      <c r="R885" s="122"/>
    </row>
    <row r="886" ht="14.25" customHeight="1">
      <c r="D886" s="129"/>
      <c r="E886" s="129"/>
      <c r="F886" s="129"/>
      <c r="R886" s="122"/>
    </row>
    <row r="887" ht="14.25" customHeight="1">
      <c r="D887" s="129"/>
      <c r="E887" s="129"/>
      <c r="F887" s="129"/>
      <c r="R887" s="122"/>
    </row>
    <row r="888" ht="14.25" customHeight="1">
      <c r="D888" s="129"/>
      <c r="E888" s="129"/>
      <c r="F888" s="129"/>
      <c r="R888" s="122"/>
    </row>
    <row r="889" ht="14.25" customHeight="1">
      <c r="D889" s="129"/>
      <c r="E889" s="129"/>
      <c r="F889" s="129"/>
      <c r="R889" s="122"/>
    </row>
    <row r="890" ht="14.25" customHeight="1">
      <c r="D890" s="129"/>
      <c r="E890" s="129"/>
      <c r="F890" s="129"/>
      <c r="R890" s="122"/>
    </row>
    <row r="891" ht="14.25" customHeight="1">
      <c r="D891" s="129"/>
      <c r="E891" s="129"/>
      <c r="F891" s="129"/>
      <c r="R891" s="122"/>
    </row>
    <row r="892" ht="14.25" customHeight="1">
      <c r="D892" s="129"/>
      <c r="E892" s="129"/>
      <c r="F892" s="129"/>
      <c r="R892" s="122"/>
    </row>
    <row r="893" ht="14.25" customHeight="1">
      <c r="D893" s="129"/>
      <c r="E893" s="129"/>
      <c r="F893" s="129"/>
      <c r="R893" s="122"/>
    </row>
    <row r="894" ht="14.25" customHeight="1">
      <c r="D894" s="129"/>
      <c r="E894" s="129"/>
      <c r="F894" s="129"/>
      <c r="R894" s="122"/>
    </row>
    <row r="895" ht="14.25" customHeight="1">
      <c r="D895" s="129"/>
      <c r="E895" s="129"/>
      <c r="F895" s="129"/>
      <c r="R895" s="122"/>
    </row>
    <row r="896" ht="14.25" customHeight="1">
      <c r="D896" s="129"/>
      <c r="E896" s="129"/>
      <c r="F896" s="129"/>
      <c r="R896" s="122"/>
    </row>
    <row r="897" ht="14.25" customHeight="1">
      <c r="D897" s="129"/>
      <c r="E897" s="129"/>
      <c r="F897" s="129"/>
      <c r="R897" s="122"/>
    </row>
    <row r="898" ht="14.25" customHeight="1">
      <c r="D898" s="129"/>
      <c r="E898" s="129"/>
      <c r="F898" s="129"/>
      <c r="R898" s="122"/>
    </row>
    <row r="899" ht="14.25" customHeight="1">
      <c r="D899" s="129"/>
      <c r="E899" s="129"/>
      <c r="F899" s="129"/>
      <c r="R899" s="122"/>
    </row>
    <row r="900" ht="14.25" customHeight="1">
      <c r="D900" s="129"/>
      <c r="E900" s="129"/>
      <c r="F900" s="129"/>
      <c r="R900" s="122"/>
    </row>
    <row r="901" ht="14.25" customHeight="1">
      <c r="D901" s="129"/>
      <c r="E901" s="129"/>
      <c r="F901" s="129"/>
      <c r="R901" s="122"/>
    </row>
    <row r="902" ht="14.25" customHeight="1">
      <c r="D902" s="129"/>
      <c r="E902" s="129"/>
      <c r="F902" s="129"/>
      <c r="R902" s="122"/>
    </row>
    <row r="903" ht="14.25" customHeight="1">
      <c r="D903" s="129"/>
      <c r="E903" s="129"/>
      <c r="F903" s="129"/>
      <c r="R903" s="122"/>
    </row>
    <row r="904" ht="14.25" customHeight="1">
      <c r="D904" s="129"/>
      <c r="E904" s="129"/>
      <c r="F904" s="129"/>
      <c r="R904" s="122"/>
    </row>
    <row r="905" ht="14.25" customHeight="1">
      <c r="D905" s="129"/>
      <c r="E905" s="129"/>
      <c r="F905" s="129"/>
      <c r="R905" s="122"/>
    </row>
    <row r="906" ht="14.25" customHeight="1">
      <c r="D906" s="129"/>
      <c r="E906" s="129"/>
      <c r="F906" s="129"/>
      <c r="R906" s="122"/>
    </row>
    <row r="907" ht="14.25" customHeight="1">
      <c r="D907" s="129"/>
      <c r="E907" s="129"/>
      <c r="F907" s="129"/>
      <c r="R907" s="122"/>
    </row>
    <row r="908" ht="14.25" customHeight="1">
      <c r="D908" s="129"/>
      <c r="E908" s="129"/>
      <c r="F908" s="129"/>
      <c r="R908" s="122"/>
    </row>
    <row r="909" ht="14.25" customHeight="1">
      <c r="D909" s="129"/>
      <c r="E909" s="129"/>
      <c r="F909" s="129"/>
      <c r="R909" s="122"/>
    </row>
    <row r="910" ht="14.25" customHeight="1">
      <c r="D910" s="129"/>
      <c r="E910" s="129"/>
      <c r="F910" s="129"/>
      <c r="R910" s="122"/>
    </row>
    <row r="911" ht="14.25" customHeight="1">
      <c r="D911" s="129"/>
      <c r="E911" s="129"/>
      <c r="F911" s="129"/>
      <c r="R911" s="122"/>
    </row>
    <row r="912" ht="14.25" customHeight="1">
      <c r="D912" s="129"/>
      <c r="E912" s="129"/>
      <c r="F912" s="129"/>
      <c r="R912" s="122"/>
    </row>
    <row r="913" ht="14.25" customHeight="1">
      <c r="D913" s="129"/>
      <c r="E913" s="129"/>
      <c r="F913" s="129"/>
      <c r="R913" s="122"/>
    </row>
    <row r="914" ht="14.25" customHeight="1">
      <c r="D914" s="129"/>
      <c r="E914" s="129"/>
      <c r="F914" s="129"/>
      <c r="R914" s="122"/>
    </row>
    <row r="915" ht="14.25" customHeight="1">
      <c r="D915" s="129"/>
      <c r="E915" s="129"/>
      <c r="F915" s="129"/>
      <c r="R915" s="122"/>
    </row>
    <row r="916" ht="14.25" customHeight="1">
      <c r="D916" s="129"/>
      <c r="E916" s="129"/>
      <c r="F916" s="129"/>
      <c r="R916" s="122"/>
    </row>
    <row r="917" ht="14.25" customHeight="1">
      <c r="D917" s="129"/>
      <c r="E917" s="129"/>
      <c r="F917" s="129"/>
      <c r="R917" s="122"/>
    </row>
    <row r="918" ht="14.25" customHeight="1">
      <c r="D918" s="129"/>
      <c r="E918" s="129"/>
      <c r="F918" s="129"/>
      <c r="R918" s="122"/>
    </row>
    <row r="919" ht="14.25" customHeight="1">
      <c r="D919" s="129"/>
      <c r="E919" s="129"/>
      <c r="F919" s="129"/>
      <c r="R919" s="122"/>
    </row>
  </sheetData>
  <autoFilter ref="$A$48"/>
  <mergeCells count="6">
    <mergeCell ref="T11:T12"/>
    <mergeCell ref="T19:T21"/>
    <mergeCell ref="T24:T25"/>
    <mergeCell ref="T87:T88"/>
    <mergeCell ref="T103:T104"/>
    <mergeCell ref="T114:T115"/>
  </mergeCells>
  <dataValidations>
    <dataValidation type="list" allowBlank="1" showErrorMessage="1" sqref="O2 O4:O6 O8:O9 O11:O12 O14:O15 O17 O19:O22 O24:O25 O27:O28 O30 O32:O33 O35 O37 O39:O40 O42:O43 O45 O47 O49 O51:O52 O54 O57:O58 O60 O62 O64 O66 O68:O69 O71:O72 O74 O76:O77 O79 O81 O83 O85 O87:O88 O90 O92 O94 O97 O99 O101 O103:O104 O106 O108 O110 O112 O114:O115 O117 O119 O121">
      <formula1>"include,exclude"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cols>
    <col customWidth="1" min="1" max="1" width="24.38"/>
    <col customWidth="1" min="2" max="3" width="7.5"/>
    <col customWidth="1" min="4" max="4" width="6.63"/>
    <col customWidth="1" min="5" max="5" width="22.5"/>
    <col customWidth="1" min="6" max="6" width="7.0"/>
    <col customWidth="1" min="7" max="7" width="13.38"/>
    <col customWidth="1" min="8" max="8" width="19.38"/>
    <col customWidth="1" min="9" max="9" width="41.75"/>
    <col customWidth="1" min="10" max="10" width="19.38"/>
    <col customWidth="1" min="11" max="11" width="2.75"/>
    <col customWidth="1" min="12" max="12" width="16.38"/>
    <col customWidth="1" hidden="1" min="13" max="13" width="19.75"/>
    <col customWidth="1" min="14" max="14" width="17.0"/>
    <col customWidth="1" min="16" max="16" width="1.88"/>
    <col customWidth="1" min="17" max="17" width="20.38"/>
    <col customWidth="1" min="18" max="18" width="14.63"/>
    <col customWidth="1" min="19" max="20" width="19.13"/>
    <col customWidth="1" min="21" max="21" width="28.5"/>
  </cols>
  <sheetData>
    <row r="1" ht="32.25" customHeight="1">
      <c r="A1" s="130" t="s">
        <v>432</v>
      </c>
      <c r="B1" s="131" t="s">
        <v>2</v>
      </c>
      <c r="C1" s="131" t="s">
        <v>3</v>
      </c>
      <c r="D1" s="132" t="s">
        <v>4</v>
      </c>
      <c r="E1" s="130" t="s">
        <v>433</v>
      </c>
      <c r="F1" s="130" t="s">
        <v>434</v>
      </c>
      <c r="G1" s="130" t="s">
        <v>435</v>
      </c>
      <c r="H1" s="130" t="s">
        <v>436</v>
      </c>
      <c r="I1" s="130" t="s">
        <v>437</v>
      </c>
      <c r="J1" s="130" t="s">
        <v>438</v>
      </c>
      <c r="K1" s="133"/>
      <c r="L1" s="132" t="s">
        <v>439</v>
      </c>
      <c r="M1" s="132" t="s">
        <v>440</v>
      </c>
      <c r="N1" s="132" t="s">
        <v>441</v>
      </c>
      <c r="O1" s="132" t="s">
        <v>442</v>
      </c>
      <c r="P1" s="132" t="s">
        <v>443</v>
      </c>
      <c r="Q1" s="132" t="s">
        <v>444</v>
      </c>
      <c r="R1" s="132" t="s">
        <v>445</v>
      </c>
      <c r="S1" s="132" t="s">
        <v>446</v>
      </c>
      <c r="T1" s="132" t="s">
        <v>447</v>
      </c>
      <c r="U1" s="130" t="s">
        <v>448</v>
      </c>
      <c r="V1" s="130" t="s">
        <v>449</v>
      </c>
      <c r="W1" s="134"/>
      <c r="X1" s="134"/>
      <c r="Y1" s="134"/>
      <c r="Z1" s="134"/>
      <c r="AA1" s="134"/>
      <c r="AB1" s="134"/>
      <c r="AC1" s="134"/>
      <c r="AD1" s="134"/>
      <c r="AE1" s="134"/>
      <c r="AF1" s="134"/>
      <c r="AG1" s="134"/>
      <c r="AH1" s="134"/>
      <c r="AI1" s="134"/>
      <c r="AJ1" s="134"/>
    </row>
    <row r="2">
      <c r="A2" s="135" t="s">
        <v>450</v>
      </c>
      <c r="B2" s="136" t="s">
        <v>269</v>
      </c>
      <c r="C2" s="136" t="s">
        <v>269</v>
      </c>
      <c r="D2" s="137" t="s">
        <v>270</v>
      </c>
      <c r="E2" s="135" t="s">
        <v>268</v>
      </c>
      <c r="F2" s="135"/>
      <c r="G2" s="95" t="s">
        <v>451</v>
      </c>
      <c r="K2" s="138"/>
      <c r="L2" s="139" t="str">
        <f>IFERROR(__xludf.DUMMYFUNCTION("TEXTJOIN("","", TRUE, unique(filter('phase 3 route list'!$S$1:$S$200, 'phase 3 route list'!$D$1:$D$200=$B2)))"),"20 mins")</f>
        <v>20 mins</v>
      </c>
      <c r="M2" s="140">
        <f>IFERROR(__xludf.DUMMYFUNCTION("average(filter('phase 3 route list'!$J$1:$J$200, 'phase 3 route list'!$D$1:$D$200=$B2))"),3.22934807808075)</f>
        <v>3.229348078</v>
      </c>
      <c r="N2" s="140">
        <f>IFERROR(__xludf.DUMMYFUNCTION("average(filter('phase 3 route list'!$J$1:$J$200, 'phase 3 route list'!$D$1:$D$200=$B2, 'phase 3 route list'!$O$1:$O$200=""include""))"),3.22934807808075)</f>
        <v>3.229348078</v>
      </c>
      <c r="O2" s="141" t="s">
        <v>452</v>
      </c>
      <c r="P2" s="141" t="s">
        <v>452</v>
      </c>
      <c r="Q2" s="139" t="str">
        <f>IFERROR(__xludf.DUMMYFUNCTION("TEXTJOIN("","", TRUE, unique(filter('phase 3 route list'!$Q$1:$Q$200, 'phase 3 route list'!$D$1:$D$200=$B2, 'phase 3 route list'!$O$1:$O$200=""include"")))"),"9am-1pm")</f>
        <v>9am-1pm</v>
      </c>
      <c r="R2" s="142" t="s">
        <v>122</v>
      </c>
      <c r="S2" s="95" t="s">
        <v>453</v>
      </c>
      <c r="T2" s="95" t="s">
        <v>122</v>
      </c>
      <c r="U2" s="139" t="str">
        <f>IFERROR(__xludf.DUMMYFUNCTION("TEXTJOIN("","", TRUE, filter('phase 3 route list'!$K$1:$K$200, 'phase 3 route list'!$D$1:$D$200=$B2))"),"1000")</f>
        <v>1000</v>
      </c>
    </row>
    <row r="3" ht="21.75" hidden="1" customHeight="1">
      <c r="A3" s="135" t="s">
        <v>454</v>
      </c>
      <c r="B3" s="136" t="s">
        <v>21</v>
      </c>
      <c r="C3" s="136" t="s">
        <v>21</v>
      </c>
      <c r="D3" s="137" t="s">
        <v>22</v>
      </c>
      <c r="E3" s="135" t="s">
        <v>20</v>
      </c>
      <c r="F3" s="135"/>
      <c r="G3" s="95" t="s">
        <v>455</v>
      </c>
      <c r="H3" s="95"/>
      <c r="K3" s="138"/>
      <c r="L3" s="139" t="str">
        <f>IFERROR(__xludf.DUMMYFUNCTION("TEXTJOIN("","", TRUE, unique(filter('phase 3 route list'!$S$1:$S$200, 'phase 3 route list'!$D$1:$D$200=$B3)))"),"30-40 mins")</f>
        <v>30-40 mins</v>
      </c>
      <c r="M3" s="139">
        <f>IFERROR(__xludf.DUMMYFUNCTION("average(filter('phase 3 route list'!$J$1:$J$200, 'phase 3 route list'!$D$1:$D$200=$B3))"),9.87987923387594)</f>
        <v>9.879879234</v>
      </c>
      <c r="Q3" s="139" t="str">
        <f>IFERROR(__xludf.DUMMYFUNCTION("TEXTJOIN("","", TRUE, unique(filter('phase 3 route list'!$R$1:$R$200, 'phase 3 route list'!$D$1:$D$200=$B3, 'phase 3 route list'!$O$1:$O$200=""include"")))"),"#N/A")</f>
        <v>#N/A</v>
      </c>
      <c r="U3" s="139" t="str">
        <f>IFERROR(__xludf.DUMMYFUNCTION("TEXTJOIN("","", TRUE, filter('phase 3 route list'!$K$1:$K$200, 'phase 3 route list'!$D$1:$D$200=$B3))"),"2500")</f>
        <v>2500</v>
      </c>
    </row>
    <row r="4" hidden="1">
      <c r="A4" s="135" t="s">
        <v>454</v>
      </c>
      <c r="B4" s="136" t="s">
        <v>69</v>
      </c>
      <c r="C4" s="136" t="s">
        <v>69</v>
      </c>
      <c r="D4" s="137" t="s">
        <v>21</v>
      </c>
      <c r="E4" s="143" t="s">
        <v>68</v>
      </c>
      <c r="F4" s="143"/>
      <c r="G4" s="95" t="s">
        <v>455</v>
      </c>
      <c r="I4" s="42" t="s">
        <v>456</v>
      </c>
      <c r="K4" s="138"/>
      <c r="L4" s="139" t="str">
        <f>IFERROR(__xludf.DUMMYFUNCTION("TEXTJOIN("","", TRUE, unique(filter('phase 3 route list'!$S$1:$S$200, 'phase 3 route list'!$D$1:$D$200=$B4)))"),"")</f>
        <v/>
      </c>
      <c r="M4" s="139">
        <f>IFERROR(__xludf.DUMMYFUNCTION("average(filter('phase 3 route list'!$J$1:$J$200, 'phase 3 route list'!$D$1:$D$200=$B4))"),10.9801176076258)</f>
        <v>10.98011761</v>
      </c>
      <c r="Q4" s="139" t="str">
        <f>IFERROR(__xludf.DUMMYFUNCTION("TEXTJOIN("","", TRUE, unique(filter('phase 3 route list'!$R$1:$R$200, 'phase 3 route list'!$D$1:$D$200=$B4, 'phase 3 route list'!$O$1:$O$200=""include"")))"),"#N/A")</f>
        <v>#N/A</v>
      </c>
      <c r="U4" s="139" t="str">
        <f>IFERROR(__xludf.DUMMYFUNCTION("TEXTJOIN("","", TRUE, filter('phase 3 route list'!$K$1:$K$200, 'phase 3 route list'!$D$1:$D$200=$B4))"),"2000,2000")</f>
        <v>2000,2000</v>
      </c>
    </row>
    <row r="5" hidden="1">
      <c r="A5" s="135" t="s">
        <v>454</v>
      </c>
      <c r="B5" s="136" t="s">
        <v>55</v>
      </c>
      <c r="C5" s="136" t="s">
        <v>55</v>
      </c>
      <c r="D5" s="137" t="s">
        <v>80</v>
      </c>
      <c r="E5" s="135" t="s">
        <v>79</v>
      </c>
      <c r="F5" s="135"/>
      <c r="G5" s="95" t="s">
        <v>455</v>
      </c>
      <c r="K5" s="138"/>
      <c r="L5" s="139" t="str">
        <f>IFERROR(__xludf.DUMMYFUNCTION("TEXTJOIN("","", TRUE, unique(filter('phase 3 route list'!$S$1:$S$200, 'phase 3 route list'!$D$1:$D$200=$B5)))"),"30-40 mins")</f>
        <v>30-40 mins</v>
      </c>
      <c r="M5" s="139">
        <f>IFERROR(__xludf.DUMMYFUNCTION("average(filter('phase 3 route list'!$J$1:$J$200, 'phase 3 route list'!$D$1:$D$200=$B5))"),9.108904099159705)</f>
        <v>9.108904099</v>
      </c>
      <c r="Q5" s="139" t="str">
        <f>IFERROR(__xludf.DUMMYFUNCTION("TEXTJOIN("","", TRUE, unique(filter('phase 3 route list'!$R$1:$R$200, 'phase 3 route list'!$D$1:$D$200=$B5, 'phase 3 route list'!$O$1:$O$200=""include"")))"),"#N/A")</f>
        <v>#N/A</v>
      </c>
      <c r="U5" s="139" t="str">
        <f>IFERROR(__xludf.DUMMYFUNCTION("TEXTJOIN("","", TRUE, filter('phase 3 route list'!$K$1:$K$200, 'phase 3 route list'!$D$1:$D$200=$B5))"),"2500,2000")</f>
        <v>2500,2000</v>
      </c>
    </row>
    <row r="6">
      <c r="A6" s="135" t="s">
        <v>454</v>
      </c>
      <c r="B6" s="136" t="s">
        <v>35</v>
      </c>
      <c r="C6" s="136" t="s">
        <v>35</v>
      </c>
      <c r="D6" s="137" t="s">
        <v>54</v>
      </c>
      <c r="E6" s="135" t="s">
        <v>92</v>
      </c>
      <c r="F6" s="135"/>
      <c r="G6" s="42" t="s">
        <v>451</v>
      </c>
      <c r="K6" s="138"/>
      <c r="L6" s="139" t="str">
        <f>IFERROR(__xludf.DUMMYFUNCTION("TEXTJOIN("","", TRUE, unique(filter('phase 3 route list'!$S$1:$S$200, 'phase 3 route list'!$D$1:$D$200=$B6)))"),"15 mins")</f>
        <v>15 mins</v>
      </c>
      <c r="M6" s="140">
        <f>IFERROR(__xludf.DUMMYFUNCTION("average(filter('phase 3 route list'!$J$1:$J$200, 'phase 3 route list'!$D$1:$D$200=$B6))"),7.32496317929443)</f>
        <v>7.324963179</v>
      </c>
      <c r="N6" s="140">
        <f>IFERROR(__xludf.DUMMYFUNCTION("average(filter('phase 3 route list'!$J$1:$J$200, 'phase 3 route list'!$D$1:$D$200=$B6, 'phase 3 route list'!$O$1:$O$200=""include""))"),7.32496317929443)</f>
        <v>7.324963179</v>
      </c>
      <c r="O6" s="141" t="s">
        <v>452</v>
      </c>
      <c r="P6" s="141" t="s">
        <v>452</v>
      </c>
      <c r="Q6" s="139" t="str">
        <f>IFERROR(__xludf.DUMMYFUNCTION("TEXTJOIN("","", TRUE, unique(filter('phase 3 route list'!$Q$1:$Q$200, 'phase 3 route list'!$D$1:$D$200=$B6, 'phase 3 route list'!$O$1:$O$200=""include"")))"),"2pm-6pm")</f>
        <v>2pm-6pm</v>
      </c>
      <c r="R6" s="144" t="s">
        <v>47</v>
      </c>
      <c r="S6" s="95" t="s">
        <v>453</v>
      </c>
      <c r="T6" s="95" t="s">
        <v>47</v>
      </c>
      <c r="U6" s="139" t="str">
        <f>IFERROR(__xludf.DUMMYFUNCTION("TEXTJOIN("","", TRUE, filter('phase 3 route list'!$K$1:$K$200, 'phase 3 route list'!$D$1:$D$200=$B6))"),"2000")</f>
        <v>2000</v>
      </c>
    </row>
    <row r="7">
      <c r="A7" s="42" t="s">
        <v>457</v>
      </c>
      <c r="B7" s="75" t="s">
        <v>408</v>
      </c>
      <c r="C7" s="75" t="s">
        <v>408</v>
      </c>
      <c r="D7" s="145" t="s">
        <v>408</v>
      </c>
      <c r="E7" s="42" t="s">
        <v>261</v>
      </c>
      <c r="G7" s="42" t="s">
        <v>451</v>
      </c>
      <c r="K7" s="138"/>
      <c r="L7" s="139" t="str">
        <f>IFERROR(__xludf.DUMMYFUNCTION("TEXTJOIN("","", TRUE, unique(filter('phase 3 route list'!$S$1:$S$200, 'phase 3 route list'!$D$1:$D$200=$B7)))"),"45-60 mins")</f>
        <v>45-60 mins</v>
      </c>
      <c r="M7" s="140">
        <f>IFERROR(__xludf.DUMMYFUNCTION("average(filter('phase 3 route list'!$J$1:$J$200, 'phase 3 route list'!$D$1:$D$200=$B7))"),34.6)</f>
        <v>34.6</v>
      </c>
      <c r="N7" s="140">
        <f>IFERROR(__xludf.DUMMYFUNCTION("average(filter('phase 3 route list'!$J$1:$J$200, 'phase 3 route list'!$D$1:$D$200=$B7, 'phase 3 route list'!$O$1:$O$200=""include""))"),34.6)</f>
        <v>34.6</v>
      </c>
      <c r="O7" s="146" t="s">
        <v>458</v>
      </c>
      <c r="P7" s="146" t="s">
        <v>458</v>
      </c>
      <c r="Q7" s="139" t="str">
        <f>IFERROR(__xludf.DUMMYFUNCTION("TEXTJOIN("","", TRUE, unique(filter('phase 3 route list'!$Q$1:$Q$200, 'phase 3 route list'!$D$1:$D$200=$B7, 'phase 3 route list'!$O$1:$O$200=""include"")))"),"9am-6pm")</f>
        <v>9am-6pm</v>
      </c>
      <c r="R7" s="144" t="s">
        <v>47</v>
      </c>
      <c r="S7" s="95" t="s">
        <v>453</v>
      </c>
      <c r="T7" s="95" t="s">
        <v>47</v>
      </c>
      <c r="U7" s="139" t="str">
        <f>IFERROR(__xludf.DUMMYFUNCTION("TEXTJOIN("","", TRUE, filter('phase 3 route list'!$K$1:$K$200, 'phase 3 route list'!$D$1:$D$200=$B7))"),"6000")</f>
        <v>6000</v>
      </c>
    </row>
    <row r="8">
      <c r="A8" s="42" t="s">
        <v>457</v>
      </c>
      <c r="B8" s="75" t="s">
        <v>414</v>
      </c>
      <c r="C8" s="75" t="s">
        <v>414</v>
      </c>
      <c r="D8" s="145" t="s">
        <v>327</v>
      </c>
      <c r="E8" s="42" t="s">
        <v>325</v>
      </c>
      <c r="G8" s="42" t="s">
        <v>451</v>
      </c>
      <c r="K8" s="138"/>
      <c r="L8" s="139" t="str">
        <f>IFERROR(__xludf.DUMMYFUNCTION("TEXTJOIN("","", TRUE, unique(filter('phase 3 route list'!$S$1:$S$200, 'phase 3 route list'!$D$1:$D$200=$B8)))"),"45-60 mins")</f>
        <v>45-60 mins</v>
      </c>
      <c r="M8" s="140">
        <f>IFERROR(__xludf.DUMMYFUNCTION("average(filter('phase 3 route list'!$J$1:$J$200, 'phase 3 route list'!$D$1:$D$200=$B8))"),30.85)</f>
        <v>30.85</v>
      </c>
      <c r="N8" s="140">
        <f>IFERROR(__xludf.DUMMYFUNCTION("average(filter('phase 3 route list'!$J$1:$J$200, 'phase 3 route list'!$D$1:$D$200=$B8, 'phase 3 route list'!$O$1:$O$200=""include""))"),30.85)</f>
        <v>30.85</v>
      </c>
      <c r="O8" s="146" t="s">
        <v>458</v>
      </c>
      <c r="P8" s="146" t="s">
        <v>458</v>
      </c>
      <c r="Q8" s="139" t="str">
        <f>IFERROR(__xludf.DUMMYFUNCTION("TEXTJOIN("","", TRUE, unique(filter('phase 3 route list'!$Q$1:$Q$200, 'phase 3 route list'!$D$1:$D$200=$B8, 'phase 3 route list'!$O$1:$O$200=""include"")))"),"10am-6pm")</f>
        <v>10am-6pm</v>
      </c>
      <c r="R8" s="144" t="s">
        <v>47</v>
      </c>
      <c r="S8" s="95" t="s">
        <v>453</v>
      </c>
      <c r="T8" s="95" t="s">
        <v>47</v>
      </c>
      <c r="U8" s="139" t="str">
        <f>IFERROR(__xludf.DUMMYFUNCTION("TEXTJOIN("","", TRUE, filter('phase 3 route list'!$K$1:$K$200, 'phase 3 route list'!$D$1:$D$200=$B8))"),"5000,6000")</f>
        <v>5000,6000</v>
      </c>
    </row>
    <row r="9">
      <c r="A9" s="135" t="s">
        <v>459</v>
      </c>
      <c r="B9" s="136" t="s">
        <v>210</v>
      </c>
      <c r="C9" s="136" t="s">
        <v>210</v>
      </c>
      <c r="D9" s="137" t="s">
        <v>211</v>
      </c>
      <c r="E9" s="135" t="s">
        <v>209</v>
      </c>
      <c r="F9" s="135"/>
      <c r="G9" s="42" t="s">
        <v>451</v>
      </c>
      <c r="K9" s="138"/>
      <c r="L9" s="139" t="str">
        <f>IFERROR(__xludf.DUMMYFUNCTION("TEXTJOIN("","", TRUE, unique(filter('phase 3 route list'!$S$1:$S$200, 'phase 3 route list'!$D$1:$D$200=$B9)))"),"30-45 mins")</f>
        <v>30-45 mins</v>
      </c>
      <c r="M9" s="140">
        <f>IFERROR(__xludf.DUMMYFUNCTION("average(filter('phase 3 route list'!$J$1:$J$200, 'phase 3 route list'!$D$1:$D$200=$B9))"),25.9260486334803)</f>
        <v>25.92604863</v>
      </c>
      <c r="N9" s="140">
        <f>IFERROR(__xludf.DUMMYFUNCTION("average(filter('phase 3 route list'!$J$1:$J$200, 'phase 3 route list'!$D$1:$D$200=$B9, 'phase 3 route list'!$O$1:$O$200=""include""))"),25.9260486334803)</f>
        <v>25.92604863</v>
      </c>
      <c r="O9" s="146" t="s">
        <v>458</v>
      </c>
      <c r="P9" s="147" t="s">
        <v>460</v>
      </c>
      <c r="Q9" s="139" t="str">
        <f>IFERROR(__xludf.DUMMYFUNCTION("TEXTJOIN("","", TRUE, unique(filter('phase 3 route list'!$Q$1:$Q$200, 'phase 3 route list'!$D$1:$D$200=$B9, 'phase 3 route list'!$O$1:$O$200=""include"")))"),"2pm-6pm")</f>
        <v>2pm-6pm</v>
      </c>
      <c r="R9" s="144" t="s">
        <v>47</v>
      </c>
      <c r="S9" s="95" t="s">
        <v>453</v>
      </c>
      <c r="T9" s="95" t="s">
        <v>47</v>
      </c>
      <c r="U9" s="139" t="str">
        <f>IFERROR(__xludf.DUMMYFUNCTION("TEXTJOIN("","", TRUE, filter('phase 3 route list'!$K$1:$K$200, 'phase 3 route list'!$D$1:$D$200=$B9))"),"3000-4000-5000")</f>
        <v>3000-4000-5000</v>
      </c>
    </row>
    <row r="10">
      <c r="A10" s="135" t="s">
        <v>459</v>
      </c>
      <c r="B10" s="136" t="s">
        <v>203</v>
      </c>
      <c r="C10" s="136" t="s">
        <v>203</v>
      </c>
      <c r="D10" s="137" t="s">
        <v>204</v>
      </c>
      <c r="E10" s="135" t="s">
        <v>202</v>
      </c>
      <c r="F10" s="135"/>
      <c r="G10" s="42" t="s">
        <v>451</v>
      </c>
      <c r="K10" s="138"/>
      <c r="L10" s="139" t="str">
        <f>IFERROR(__xludf.DUMMYFUNCTION("TEXTJOIN("","", TRUE, unique(filter('phase 3 route list'!$S$1:$S$200, 'phase 3 route list'!$D$1:$D$200=$B10)))"),"45 mins")</f>
        <v>45 mins</v>
      </c>
      <c r="M10" s="140">
        <f>IFERROR(__xludf.DUMMYFUNCTION("average(filter('phase 3 route list'!$J$1:$J$200, 'phase 3 route list'!$D$1:$D$200=$B10))"),20.6007386070054)</f>
        <v>20.60073861</v>
      </c>
      <c r="N10" s="140">
        <f>IFERROR(__xludf.DUMMYFUNCTION("average(filter('phase 3 route list'!$J$1:$J$200, 'phase 3 route list'!$D$1:$D$200=$B10, 'phase 3 route list'!$O$1:$O$200=""include""))"),20.6007386070054)</f>
        <v>20.60073861</v>
      </c>
      <c r="O10" s="147" t="s">
        <v>460</v>
      </c>
      <c r="P10" s="147" t="s">
        <v>460</v>
      </c>
      <c r="Q10" s="139" t="str">
        <f>IFERROR(__xludf.DUMMYFUNCTION("TEXTJOIN("","", TRUE, unique(filter('phase 3 route list'!$Q$1:$Q$200, 'phase 3 route list'!$D$1:$D$200=$B10, 'phase 3 route list'!$O$1:$O$200=""include"")))"),"10am-6pm")</f>
        <v>10am-6pm</v>
      </c>
      <c r="R10" s="144" t="s">
        <v>47</v>
      </c>
      <c r="S10" s="95" t="s">
        <v>453</v>
      </c>
      <c r="T10" s="95" t="s">
        <v>461</v>
      </c>
      <c r="U10" s="139" t="str">
        <f>IFERROR(__xludf.DUMMYFUNCTION("TEXTJOIN("","", TRUE, filter('phase 3 route list'!$K$1:$K$200, 'phase 3 route list'!$D$1:$D$200=$B10))"),"2000-4000-5000")</f>
        <v>2000-4000-5000</v>
      </c>
    </row>
    <row r="11">
      <c r="A11" s="135" t="s">
        <v>459</v>
      </c>
      <c r="B11" s="136" t="s">
        <v>101</v>
      </c>
      <c r="C11" s="136" t="s">
        <v>101</v>
      </c>
      <c r="D11" s="145" t="s">
        <v>102</v>
      </c>
      <c r="E11" s="143" t="s">
        <v>462</v>
      </c>
      <c r="F11" s="135"/>
      <c r="G11" s="42" t="s">
        <v>451</v>
      </c>
      <c r="I11" s="42" t="s">
        <v>463</v>
      </c>
      <c r="K11" s="138"/>
      <c r="L11" s="139" t="str">
        <f>IFERROR(__xludf.DUMMYFUNCTION("TEXTJOIN("","", TRUE, unique(filter('phase 3 route list'!$S$1:$S$200, 'phase 3 route list'!$D$1:$D$200=$B11)))"),"45-60 mins")</f>
        <v>45-60 mins</v>
      </c>
      <c r="M11" s="140">
        <f>IFERROR(__xludf.DUMMYFUNCTION("average(filter('phase 3 route list'!$J$1:$J$200, 'phase 3 route list'!$D$1:$D$200=$B11))"),21.833333333333332)</f>
        <v>21.83333333</v>
      </c>
      <c r="N11" s="140">
        <f>IFERROR(__xludf.DUMMYFUNCTION("average(filter('phase 3 route list'!$J$1:$J$200, 'phase 3 route list'!$D$1:$D$200=$B11, 'phase 3 route list'!$O$1:$O$200=""include""))"),21.833333333333332)</f>
        <v>21.83333333</v>
      </c>
      <c r="O11" s="147" t="s">
        <v>460</v>
      </c>
      <c r="P11" s="147" t="s">
        <v>460</v>
      </c>
      <c r="Q11" s="139" t="str">
        <f>IFERROR(__xludf.DUMMYFUNCTION("TEXTJOIN("","", TRUE, unique(filter('phase 3 route list'!$Q$1:$Q$200, 'phase 3 route list'!$D$1:$D$200=$B11, 'phase 3 route list'!$O$1:$O$200=""include"")))"),"10am-6pm")</f>
        <v>10am-6pm</v>
      </c>
      <c r="R11" s="95" t="s">
        <v>461</v>
      </c>
      <c r="S11" s="95" t="s">
        <v>453</v>
      </c>
      <c r="T11" s="95" t="s">
        <v>461</v>
      </c>
      <c r="U11" s="139" t="str">
        <f>IFERROR(__xludf.DUMMYFUNCTION("TEXTJOIN("","", TRUE, filter('phase 3 route list'!$K$1:$K$200, 'phase 3 route list'!$D$1:$D$200=$B11))"),"4000,4000,3000,4000")</f>
        <v>4000,4000,3000,4000</v>
      </c>
    </row>
    <row r="12">
      <c r="A12" s="135" t="s">
        <v>459</v>
      </c>
      <c r="B12" s="136" t="s">
        <v>218</v>
      </c>
      <c r="C12" s="136" t="s">
        <v>218</v>
      </c>
      <c r="D12" s="137" t="s">
        <v>219</v>
      </c>
      <c r="E12" s="135" t="s">
        <v>217</v>
      </c>
      <c r="F12" s="135"/>
      <c r="G12" s="42" t="s">
        <v>451</v>
      </c>
      <c r="K12" s="138"/>
      <c r="L12" s="139" t="str">
        <f>IFERROR(__xludf.DUMMYFUNCTION("TEXTJOIN("","", TRUE, unique(filter('phase 3 route list'!$S$1:$S$200, 'phase 3 route list'!$D$1:$D$200=$B12)))"),"45 mins")</f>
        <v>45 mins</v>
      </c>
      <c r="M12" s="140">
        <f>IFERROR(__xludf.DUMMYFUNCTION("average(filter('phase 3 route list'!$J$1:$J$200, 'phase 3 route list'!$D$1:$D$200=$B12))"),15.6884585584492)</f>
        <v>15.68845856</v>
      </c>
      <c r="N12" s="140">
        <f>IFERROR(__xludf.DUMMYFUNCTION("average(filter('phase 3 route list'!$J$1:$J$200, 'phase 3 route list'!$D$1:$D$200=$B12, 'phase 3 route list'!$O$1:$O$200=""include""))"),15.6884585584492)</f>
        <v>15.68845856</v>
      </c>
      <c r="O12" s="147" t="s">
        <v>460</v>
      </c>
      <c r="P12" s="147" t="s">
        <v>460</v>
      </c>
      <c r="Q12" s="139" t="str">
        <f>IFERROR(__xludf.DUMMYFUNCTION("TEXTJOIN("","", TRUE, unique(filter('phase 3 route list'!$Q$1:$Q$200, 'phase 3 route list'!$D$1:$D$200=$B12, 'phase 3 route list'!$O$1:$O$200=""include"")))"),"9am-6pm")</f>
        <v>9am-6pm</v>
      </c>
      <c r="R12" s="144" t="s">
        <v>47</v>
      </c>
      <c r="S12" s="95" t="s">
        <v>453</v>
      </c>
      <c r="T12" s="95" t="s">
        <v>461</v>
      </c>
      <c r="U12" s="139" t="str">
        <f>IFERROR(__xludf.DUMMYFUNCTION("TEXTJOIN("","", TRUE, filter('phase 3 route list'!$K$1:$K$200, 'phase 3 route list'!$D$1:$D$200=$B12))"),"3000-3500-4000")</f>
        <v>3000-3500-4000</v>
      </c>
    </row>
    <row r="13">
      <c r="A13" s="135" t="s">
        <v>459</v>
      </c>
      <c r="B13" s="136" t="s">
        <v>190</v>
      </c>
      <c r="C13" s="136" t="s">
        <v>190</v>
      </c>
      <c r="D13" s="137" t="s">
        <v>191</v>
      </c>
      <c r="E13" s="135" t="s">
        <v>189</v>
      </c>
      <c r="F13" s="135"/>
      <c r="G13" s="42" t="s">
        <v>451</v>
      </c>
      <c r="K13" s="138"/>
      <c r="L13" s="139" t="str">
        <f>IFERROR(__xludf.DUMMYFUNCTION("TEXTJOIN("","", TRUE, unique(filter('phase 3 route list'!$S$1:$S$200, 'phase 3 route list'!$D$1:$D$200=$B13)))"),"45 mins")</f>
        <v>45 mins</v>
      </c>
      <c r="M13" s="140">
        <f>IFERROR(__xludf.DUMMYFUNCTION("average(filter('phase 3 route list'!$J$1:$J$200, 'phase 3 route list'!$D$1:$D$200=$B13))"),15.46605843803157)</f>
        <v>15.46605844</v>
      </c>
      <c r="N13" s="140">
        <f>IFERROR(__xludf.DUMMYFUNCTION("average(filter('phase 3 route list'!$J$1:$J$200, 'phase 3 route list'!$D$1:$D$200=$B13, 'phase 3 route list'!$O$1:$O$200=""include""))"),23.0921680324694)</f>
        <v>23.09216803</v>
      </c>
      <c r="O13" s="147" t="s">
        <v>460</v>
      </c>
      <c r="P13" s="147" t="s">
        <v>460</v>
      </c>
      <c r="Q13" s="139" t="str">
        <f>IFERROR(__xludf.DUMMYFUNCTION("TEXTJOIN("","", TRUE, unique(filter('phase 3 route list'!$Q$1:$Q$200, 'phase 3 route list'!$D$1:$D$200=$B13, 'phase 3 route list'!$O$1:$O$200=""include"")))"),"10am-6pm")</f>
        <v>10am-6pm</v>
      </c>
      <c r="R13" s="144" t="s">
        <v>47</v>
      </c>
      <c r="S13" s="95" t="s">
        <v>453</v>
      </c>
      <c r="T13" s="95" t="s">
        <v>461</v>
      </c>
      <c r="U13" s="139" t="str">
        <f>IFERROR(__xludf.DUMMYFUNCTION("TEXTJOIN("","", TRUE, filter('phase 3 route list'!$K$1:$K$200, 'phase 3 route list'!$D$1:$D$200=$B13))"),"2000-3000-4000-5000,2000-2500")</f>
        <v>2000-3000-4000-5000,2000-2500</v>
      </c>
    </row>
    <row r="14">
      <c r="A14" s="135" t="s">
        <v>464</v>
      </c>
      <c r="B14" s="136" t="s">
        <v>302</v>
      </c>
      <c r="C14" s="136" t="s">
        <v>302</v>
      </c>
      <c r="D14" s="137"/>
      <c r="E14" s="135" t="s">
        <v>301</v>
      </c>
      <c r="F14" s="135"/>
      <c r="G14" s="42" t="s">
        <v>451</v>
      </c>
      <c r="K14" s="138"/>
      <c r="L14" s="139" t="str">
        <f>IFERROR(__xludf.DUMMYFUNCTION("TEXTJOIN("","", TRUE, unique(filter('phase 3 route list'!$S$1:$S$200, 'phase 3 route list'!$D$1:$D$200=$B14)))"),"45 mins")</f>
        <v>45 mins</v>
      </c>
      <c r="M14" s="140">
        <f>IFERROR(__xludf.DUMMYFUNCTION("average(filter('phase 3 route list'!$J$1:$J$200, 'phase 3 route list'!$D$1:$D$200=$B14))"),132.55)</f>
        <v>132.55</v>
      </c>
      <c r="N14" s="140">
        <f>IFERROR(__xludf.DUMMYFUNCTION("average(filter('phase 3 route list'!$J$1:$J$200, 'phase 3 route list'!$D$1:$D$200=$B14, 'phase 3 route list'!$O$1:$O$200=""include""))"),37.1)</f>
        <v>37.1</v>
      </c>
      <c r="O14" s="148" t="s">
        <v>465</v>
      </c>
      <c r="P14" s="148" t="s">
        <v>465</v>
      </c>
      <c r="Q14" s="139" t="str">
        <f>IFERROR(__xludf.DUMMYFUNCTION("TEXTJOIN("","", TRUE, unique(filter('phase 3 route list'!$Q$1:$Q$200, 'phase 3 route list'!$D$1:$D$200=$B14, 'phase 3 route list'!$O$1:$O$200=""include"")))"),"1pm-6pm")</f>
        <v>1pm-6pm</v>
      </c>
      <c r="R14" s="144" t="s">
        <v>47</v>
      </c>
      <c r="S14" s="95" t="s">
        <v>453</v>
      </c>
      <c r="T14" s="95" t="s">
        <v>47</v>
      </c>
      <c r="U14" s="139" t="str">
        <f>IFERROR(__xludf.DUMMYFUNCTION("TEXTJOIN("","", TRUE, filter('phase 3 route list'!$K$1:$K$200, 'phase 3 route list'!$D$1:$D$200=$B14))"),"8000,25000")</f>
        <v>8000,25000</v>
      </c>
    </row>
    <row r="15">
      <c r="A15" s="135" t="s">
        <v>464</v>
      </c>
      <c r="B15" s="136" t="s">
        <v>309</v>
      </c>
      <c r="C15" s="136" t="s">
        <v>309</v>
      </c>
      <c r="D15" s="149" t="s">
        <v>80</v>
      </c>
      <c r="E15" s="135" t="s">
        <v>308</v>
      </c>
      <c r="F15" s="135"/>
      <c r="G15" s="42" t="s">
        <v>451</v>
      </c>
      <c r="I15" s="42" t="s">
        <v>466</v>
      </c>
      <c r="K15" s="138"/>
      <c r="L15" s="139" t="str">
        <f>IFERROR(__xludf.DUMMYFUNCTION("TEXTJOIN("","", TRUE, unique(filter('phase 3 route list'!$S$1:$S$200, 'phase 3 route list'!$D$1:$D$200=$B15)))"),"45 mins")</f>
        <v>45 mins</v>
      </c>
      <c r="M15" s="140">
        <f>IFERROR(__xludf.DUMMYFUNCTION("average(filter('phase 3 route list'!$J$1:$J$200, 'phase 3 route list'!$D$1:$D$200=$B15))"),12.4058069647303)</f>
        <v>12.40580696</v>
      </c>
      <c r="N15" s="140">
        <f>IFERROR(__xludf.DUMMYFUNCTION("average(filter('phase 3 route list'!$J$1:$J$200, 'phase 3 route list'!$D$1:$D$200=$B15, 'phase 3 route list'!$O$1:$O$200=""include""))"),12.4058069647303)</f>
        <v>12.40580696</v>
      </c>
      <c r="O15" s="148" t="s">
        <v>465</v>
      </c>
      <c r="P15" s="148" t="s">
        <v>465</v>
      </c>
      <c r="Q15" s="139" t="str">
        <f>IFERROR(__xludf.DUMMYFUNCTION("TEXTJOIN("","", TRUE, unique(filter('phase 3 route list'!$Q$1:$Q$200, 'phase 3 route list'!$D$1:$D$200=$B15, 'phase 3 route list'!$O$1:$O$200=""include"")))"),"12pm-6pm")</f>
        <v>12pm-6pm</v>
      </c>
      <c r="R15" s="144" t="s">
        <v>47</v>
      </c>
      <c r="S15" s="95" t="s">
        <v>453</v>
      </c>
      <c r="T15" s="95" t="s">
        <v>47</v>
      </c>
      <c r="U15" s="139" t="str">
        <f>IFERROR(__xludf.DUMMYFUNCTION("TEXTJOIN("","", TRUE, filter('phase 3 route list'!$K$1:$K$200, 'phase 3 route list'!$D$1:$D$200=$B15))"),"3500")</f>
        <v>3500</v>
      </c>
    </row>
    <row r="16" hidden="1">
      <c r="A16" s="135" t="s">
        <v>464</v>
      </c>
      <c r="B16" s="136" t="s">
        <v>347</v>
      </c>
      <c r="C16" s="136" t="s">
        <v>347</v>
      </c>
      <c r="D16" s="137" t="s">
        <v>348</v>
      </c>
      <c r="E16" s="135" t="s">
        <v>346</v>
      </c>
      <c r="F16" s="135"/>
      <c r="G16" s="95" t="s">
        <v>455</v>
      </c>
      <c r="K16" s="138"/>
      <c r="L16" s="139" t="str">
        <f>IFERROR(__xludf.DUMMYFUNCTION("TEXTJOIN("","", TRUE, unique(filter('phase 3 route list'!$S$1:$S$200, 'phase 3 route list'!$D$1:$D$200=$B16)))"),"30 mins")</f>
        <v>30 mins</v>
      </c>
      <c r="M16" s="139">
        <f>IFERROR(__xludf.DUMMYFUNCTION("average(filter('phase 3 route list'!$J$1:$J$200, 'phase 3 route list'!$D$1:$D$200=$B16))"),17.1841908147639)</f>
        <v>17.18419081</v>
      </c>
      <c r="Q16" s="139" t="str">
        <f>IFERROR(__xludf.DUMMYFUNCTION("TEXTJOIN("","", TRUE, unique(filter('phase 3 route list'!$R$1:$R$200, 'phase 3 route list'!$D$1:$D$200=$B16, 'phase 3 route list'!$O$1:$O$200=""include"")))"),"#N/A")</f>
        <v>#N/A</v>
      </c>
      <c r="U16" s="139" t="str">
        <f>IFERROR(__xludf.DUMMYFUNCTION("TEXTJOIN("","", TRUE, filter('phase 3 route list'!$K$1:$K$200, 'phase 3 route list'!$D$1:$D$200=$B16))"),"4000")</f>
        <v>4000</v>
      </c>
    </row>
    <row r="17">
      <c r="A17" s="135" t="s">
        <v>464</v>
      </c>
      <c r="B17" s="136" t="s">
        <v>314</v>
      </c>
      <c r="C17" s="136" t="s">
        <v>314</v>
      </c>
      <c r="D17" s="137" t="s">
        <v>315</v>
      </c>
      <c r="E17" s="135" t="s">
        <v>313</v>
      </c>
      <c r="F17" s="135"/>
      <c r="G17" s="42" t="s">
        <v>451</v>
      </c>
      <c r="K17" s="138"/>
      <c r="L17" s="139" t="str">
        <f>IFERROR(__xludf.DUMMYFUNCTION("TEXTJOIN("","", TRUE, unique(filter('phase 3 route list'!$S$1:$S$200, 'phase 3 route list'!$D$1:$D$200=$B17)))"),"45 mins")</f>
        <v>45 mins</v>
      </c>
      <c r="M17" s="140">
        <f>IFERROR(__xludf.DUMMYFUNCTION("average(filter('phase 3 route list'!$J$1:$J$200, 'phase 3 route list'!$D$1:$D$200=$B17))"),36.5489111527809)</f>
        <v>36.54891115</v>
      </c>
      <c r="N17" s="140">
        <f>IFERROR(__xludf.DUMMYFUNCTION("average(filter('phase 3 route list'!$J$1:$J$200, 'phase 3 route list'!$D$1:$D$200=$B17, 'phase 3 route list'!$O$1:$O$200=""include""))"),36.5489111527809)</f>
        <v>36.54891115</v>
      </c>
      <c r="O17" s="148" t="s">
        <v>465</v>
      </c>
      <c r="P17" s="148" t="s">
        <v>465</v>
      </c>
      <c r="Q17" s="139" t="str">
        <f>IFERROR(__xludf.DUMMYFUNCTION("TEXTJOIN("","", TRUE, unique(filter('phase 3 route list'!$Q$1:$Q$200, 'phase 3 route list'!$D$1:$D$200=$B17, 'phase 3 route list'!$O$1:$O$200=""include"")))"),"12pm-6pm")</f>
        <v>12pm-6pm</v>
      </c>
      <c r="R17" s="144" t="s">
        <v>47</v>
      </c>
      <c r="S17" s="95" t="s">
        <v>453</v>
      </c>
      <c r="T17" s="95" t="s">
        <v>47</v>
      </c>
      <c r="U17" s="139" t="str">
        <f>IFERROR(__xludf.DUMMYFUNCTION("TEXTJOIN("","", TRUE, filter('phase 3 route list'!$K$1:$K$200, 'phase 3 route list'!$D$1:$D$200=$B17))"),"6000")</f>
        <v>6000</v>
      </c>
    </row>
    <row r="18" hidden="1">
      <c r="A18" s="135" t="s">
        <v>464</v>
      </c>
      <c r="B18" s="136" t="s">
        <v>360</v>
      </c>
      <c r="C18" s="136" t="s">
        <v>360</v>
      </c>
      <c r="D18" s="137" t="s">
        <v>211</v>
      </c>
      <c r="E18" s="135" t="s">
        <v>359</v>
      </c>
      <c r="F18" s="135"/>
      <c r="G18" s="95" t="s">
        <v>455</v>
      </c>
      <c r="K18" s="138"/>
      <c r="L18" s="139" t="str">
        <f>IFERROR(__xludf.DUMMYFUNCTION("TEXTJOIN("","", TRUE, unique(filter('phase 3 route list'!$S$1:$S$200, 'phase 3 route list'!$D$1:$D$200=$B18)))"),"9am-1pm: 30 mins; 1pm-4pm: 45-60 mins")</f>
        <v>9am-1pm: 30 mins; 1pm-4pm: 45-60 mins</v>
      </c>
      <c r="M18" s="139">
        <f>IFERROR(__xludf.DUMMYFUNCTION("average(filter('phase 3 route list'!$J$1:$J$200, 'phase 3 route list'!$D$1:$D$200=$B18))"),20.0502928365148)</f>
        <v>20.05029284</v>
      </c>
      <c r="Q18" s="139" t="str">
        <f>IFERROR(__xludf.DUMMYFUNCTION("TEXTJOIN("","", TRUE, unique(filter('phase 3 route list'!$R$1:$R$200, 'phase 3 route list'!$D$1:$D$200=$B18, 'phase 3 route list'!$O$1:$O$200=""include"")))"),"#N/A")</f>
        <v>#N/A</v>
      </c>
      <c r="U18" s="139" t="str">
        <f>IFERROR(__xludf.DUMMYFUNCTION("TEXTJOIN("","", TRUE, filter('phase 3 route list'!$K$1:$K$200, 'phase 3 route list'!$D$1:$D$200=$B18))"),"5000")</f>
        <v>5000</v>
      </c>
    </row>
    <row r="19" hidden="1">
      <c r="A19" s="135" t="s">
        <v>464</v>
      </c>
      <c r="B19" s="136" t="s">
        <v>319</v>
      </c>
      <c r="C19" s="136" t="s">
        <v>319</v>
      </c>
      <c r="D19" s="137" t="s">
        <v>320</v>
      </c>
      <c r="E19" s="135" t="s">
        <v>254</v>
      </c>
      <c r="F19" s="135"/>
      <c r="G19" s="95" t="s">
        <v>455</v>
      </c>
      <c r="K19" s="138"/>
      <c r="L19" s="139" t="str">
        <f>IFERROR(__xludf.DUMMYFUNCTION("TEXTJOIN("","", TRUE, unique(filter('phase 3 route list'!$S$1:$S$200, 'phase 3 route list'!$D$1:$D$200=$B19)))"),"45-60 mins")</f>
        <v>45-60 mins</v>
      </c>
      <c r="M19" s="140">
        <f>IFERROR(__xludf.DUMMYFUNCTION("average(filter('phase 3 route list'!$J$1:$J$200, 'phase 3 route list'!$D$1:$D$200=$B19))"),20.3198025078827)</f>
        <v>20.31980251</v>
      </c>
      <c r="N19" s="140" t="str">
        <f>IFERROR(__xludf.DUMMYFUNCTION("average(filter('phase 3 route list'!$J$1:$J$200, 'phase 3 route list'!$D$1:$D$200=$B19, 'phase 3 route list'!$O$1:$O$200=""include""))"),"#N/A")</f>
        <v>#N/A</v>
      </c>
      <c r="O19" s="148" t="s">
        <v>465</v>
      </c>
      <c r="P19" s="148" t="s">
        <v>465</v>
      </c>
      <c r="Q19" s="139" t="str">
        <f>IFERROR(__xludf.DUMMYFUNCTION("TEXTJOIN("","", TRUE, unique(filter('phase 3 route list'!$Q$1:$Q$200, 'phase 3 route list'!$D$1:$D$200=$B19, 'phase 3 route list'!$O$1:$O$200=""include"")))"),"#N/A")</f>
        <v>#N/A</v>
      </c>
      <c r="R19" s="95"/>
      <c r="S19" s="95" t="s">
        <v>453</v>
      </c>
      <c r="T19" s="95" t="s">
        <v>47</v>
      </c>
      <c r="U19" s="139" t="str">
        <f>IFERROR(__xludf.DUMMYFUNCTION("TEXTJOIN("","", TRUE, filter('phase 3 route list'!$K$1:$K$200, 'phase 3 route list'!$D$1:$D$200=$B19))"),"4000")</f>
        <v>4000</v>
      </c>
    </row>
    <row r="20" hidden="1">
      <c r="A20" s="135" t="s">
        <v>464</v>
      </c>
      <c r="B20" s="136" t="s">
        <v>326</v>
      </c>
      <c r="C20" s="136" t="s">
        <v>326</v>
      </c>
      <c r="D20" s="137" t="s">
        <v>327</v>
      </c>
      <c r="E20" s="135" t="s">
        <v>325</v>
      </c>
      <c r="F20" s="135"/>
      <c r="G20" s="95" t="s">
        <v>455</v>
      </c>
      <c r="K20" s="138"/>
      <c r="L20" s="139" t="str">
        <f>IFERROR(__xludf.DUMMYFUNCTION("TEXTJOIN("","", TRUE, unique(filter('phase 3 route list'!$S$1:$S$200, 'phase 3 route list'!$D$1:$D$200=$B20)))"),"60 mins")</f>
        <v>60 mins</v>
      </c>
      <c r="M20" s="140">
        <f>IFERROR(__xludf.DUMMYFUNCTION("average(filter('phase 3 route list'!$J$1:$J$200, 'phase 3 route list'!$D$1:$D$200=$B20))"),32.3777060514449)</f>
        <v>32.37770605</v>
      </c>
      <c r="N20" s="140" t="str">
        <f>IFERROR(__xludf.DUMMYFUNCTION("average(filter('phase 3 route list'!$J$1:$J$200, 'phase 3 route list'!$D$1:$D$200=$B20, 'phase 3 route list'!$O$1:$O$200=""include""))"),"#N/A")</f>
        <v>#N/A</v>
      </c>
      <c r="O20" s="150"/>
      <c r="P20" s="150" t="s">
        <v>465</v>
      </c>
      <c r="Q20" s="139" t="str">
        <f>IFERROR(__xludf.DUMMYFUNCTION("TEXTJOIN("","", TRUE, unique(filter('phase 3 route list'!$R$1:$R$200, 'phase 3 route list'!$D$1:$D$200=$B20, 'phase 3 route list'!$O$1:$O$200=""include"")))"),"#N/A")</f>
        <v>#N/A</v>
      </c>
      <c r="U20" s="139" t="str">
        <f>IFERROR(__xludf.DUMMYFUNCTION("TEXTJOIN("","", TRUE, filter('phase 3 route list'!$K$1:$K$200, 'phase 3 route list'!$D$1:$D$200=$B20))"),"5000")</f>
        <v>5000</v>
      </c>
    </row>
    <row r="21">
      <c r="A21" s="135" t="s">
        <v>464</v>
      </c>
      <c r="B21" s="136" t="s">
        <v>336</v>
      </c>
      <c r="C21" s="136" t="s">
        <v>336</v>
      </c>
      <c r="D21" s="137" t="s">
        <v>337</v>
      </c>
      <c r="E21" s="135" t="s">
        <v>335</v>
      </c>
      <c r="F21" s="135"/>
      <c r="G21" s="42" t="s">
        <v>451</v>
      </c>
      <c r="K21" s="138"/>
      <c r="L21" s="139" t="str">
        <f>IFERROR(__xludf.DUMMYFUNCTION("TEXTJOIN("","", TRUE, unique(filter('phase 3 route list'!$S$1:$S$200, 'phase 3 route list'!$D$1:$D$200=$B21)))"),"30-45 mins")</f>
        <v>30-45 mins</v>
      </c>
      <c r="M21" s="140">
        <f>IFERROR(__xludf.DUMMYFUNCTION("average(filter('phase 3 route list'!$J$1:$J$200, 'phase 3 route list'!$D$1:$D$200=$B21))"),22.06089495304045)</f>
        <v>22.06089495</v>
      </c>
      <c r="N21" s="140">
        <f>IFERROR(__xludf.DUMMYFUNCTION("average(filter('phase 3 route list'!$J$1:$J$200, 'phase 3 route list'!$D$1:$D$200=$B21, 'phase 3 route list'!$O$1:$O$200=""include""))"),22.06089495304045)</f>
        <v>22.06089495</v>
      </c>
      <c r="O21" s="148" t="s">
        <v>465</v>
      </c>
      <c r="P21" s="148" t="s">
        <v>465</v>
      </c>
      <c r="Q21" s="139" t="str">
        <f>IFERROR(__xludf.DUMMYFUNCTION("TEXTJOIN("","", TRUE, unique(filter('phase 3 route list'!$Q$1:$Q$200, 'phase 3 route list'!$D$1:$D$200=$B21, 'phase 3 route list'!$O$1:$O$200=""include"")))"),"12pm-6pm")</f>
        <v>12pm-6pm</v>
      </c>
      <c r="R21" s="144" t="s">
        <v>47</v>
      </c>
      <c r="S21" s="95" t="s">
        <v>453</v>
      </c>
      <c r="T21" s="95" t="s">
        <v>47</v>
      </c>
      <c r="U21" s="139" t="str">
        <f>IFERROR(__xludf.DUMMYFUNCTION("TEXTJOIN("","", TRUE, filter('phase 3 route list'!$K$1:$K$200, 'phase 3 route list'!$D$1:$D$200=$B21))"),"4000,5000")</f>
        <v>4000,5000</v>
      </c>
    </row>
    <row r="22">
      <c r="A22" s="135" t="s">
        <v>454</v>
      </c>
      <c r="B22" s="136" t="s">
        <v>54</v>
      </c>
      <c r="C22" s="136" t="s">
        <v>54</v>
      </c>
      <c r="D22" s="137" t="s">
        <v>55</v>
      </c>
      <c r="E22" s="135" t="s">
        <v>53</v>
      </c>
      <c r="F22" s="135"/>
      <c r="G22" s="42" t="s">
        <v>451</v>
      </c>
      <c r="K22" s="138"/>
      <c r="L22" s="139" t="str">
        <f>IFERROR(__xludf.DUMMYFUNCTION("TEXTJOIN("","", TRUE, unique(filter('phase 3 route list'!$S$1:$S$200, 'phase 3 route list'!$D$1:$D$200=$B22)))"),"30 mins")</f>
        <v>30 mins</v>
      </c>
      <c r="M22" s="140">
        <f>IFERROR(__xludf.DUMMYFUNCTION("average(filter('phase 3 route list'!$J$1:$J$200, 'phase 3 route list'!$D$1:$D$200=$B22))"),21.82539594270815)</f>
        <v>21.82539594</v>
      </c>
      <c r="N22" s="140">
        <f>IFERROR(__xludf.DUMMYFUNCTION("average(filter('phase 3 route list'!$J$1:$J$200, 'phase 3 route list'!$D$1:$D$200=$B22, 'phase 3 route list'!$O$1:$O$200=""include""))"),21.1834831689428)</f>
        <v>21.18348317</v>
      </c>
      <c r="O22" s="151" t="s">
        <v>467</v>
      </c>
      <c r="P22" s="141" t="s">
        <v>452</v>
      </c>
      <c r="Q22" s="139" t="str">
        <f>IFERROR(__xludf.DUMMYFUNCTION("TEXTJOIN("","", TRUE, unique(filter('phase 3 route list'!$Q$1:$Q$200, 'phase 3 route list'!$D$1:$D$200=$B22, 'phase 3 route list'!$O$1:$O$200=""include"")))"),"10am-3pm")</f>
        <v>10am-3pm</v>
      </c>
      <c r="R22" s="152" t="s">
        <v>60</v>
      </c>
      <c r="S22" s="95" t="s">
        <v>453</v>
      </c>
      <c r="T22" s="95" t="s">
        <v>61</v>
      </c>
      <c r="U22" s="139" t="str">
        <f>IFERROR(__xludf.DUMMYFUNCTION("TEXTJOIN("","", TRUE, filter('phase 3 route list'!$K$1:$K$200, 'phase 3 route list'!$D$1:$D$200=$B22))"),"4000,4000")</f>
        <v>4000,4000</v>
      </c>
    </row>
    <row r="23">
      <c r="A23" s="42" t="s">
        <v>457</v>
      </c>
      <c r="B23" s="75" t="s">
        <v>375</v>
      </c>
      <c r="C23" s="75" t="s">
        <v>375</v>
      </c>
      <c r="D23" s="145" t="s">
        <v>375</v>
      </c>
      <c r="E23" s="42" t="s">
        <v>335</v>
      </c>
      <c r="G23" s="42" t="s">
        <v>451</v>
      </c>
      <c r="K23" s="138"/>
      <c r="L23" s="139" t="str">
        <f>IFERROR(__xludf.DUMMYFUNCTION("TEXTJOIN("","", TRUE, unique(filter('phase 3 route list'!$S$1:$S$200, 'phase 3 route list'!$D$1:$D$200=$B23)))"),"25 mins")</f>
        <v>25 mins</v>
      </c>
      <c r="M23" s="140">
        <f>IFERROR(__xludf.DUMMYFUNCTION("average(filter('phase 3 route list'!$J$1:$J$200, 'phase 3 route list'!$D$1:$D$200=$B23))"),15.3)</f>
        <v>15.3</v>
      </c>
      <c r="N23" s="140">
        <f>IFERROR(__xludf.DUMMYFUNCTION("average(filter('phase 3 route list'!$J$1:$J$200, 'phase 3 route list'!$D$1:$D$200=$B23, 'phase 3 route list'!$O$1:$O$200=""include""))"),15.3)</f>
        <v>15.3</v>
      </c>
      <c r="O23" s="151" t="s">
        <v>467</v>
      </c>
      <c r="P23" s="146" t="s">
        <v>458</v>
      </c>
      <c r="Q23" s="139" t="str">
        <f>IFERROR(__xludf.DUMMYFUNCTION("TEXTJOIN("","", TRUE, unique(filter('phase 3 route list'!$Q$1:$Q$200, 'phase 3 route list'!$D$1:$D$200=$B23, 'phase 3 route list'!$O$1:$O$200=""include"")))"),"9am-1pm")</f>
        <v>9am-1pm</v>
      </c>
      <c r="R23" s="142" t="s">
        <v>122</v>
      </c>
      <c r="S23" s="95" t="s">
        <v>453</v>
      </c>
      <c r="T23" s="95" t="s">
        <v>122</v>
      </c>
      <c r="U23" s="139" t="str">
        <f>IFERROR(__xludf.DUMMYFUNCTION("TEXTJOIN("","", TRUE, filter('phase 3 route list'!$K$1:$K$200, 'phase 3 route list'!$D$1:$D$200=$B23))"),"4000")</f>
        <v>4000</v>
      </c>
    </row>
    <row r="24">
      <c r="A24" s="135" t="s">
        <v>464</v>
      </c>
      <c r="B24" s="136" t="s">
        <v>355</v>
      </c>
      <c r="C24" s="136" t="s">
        <v>355</v>
      </c>
      <c r="D24" s="149" t="s">
        <v>35</v>
      </c>
      <c r="E24" s="135" t="s">
        <v>354</v>
      </c>
      <c r="F24" s="135"/>
      <c r="G24" s="42" t="s">
        <v>451</v>
      </c>
      <c r="K24" s="138"/>
      <c r="L24" s="139" t="str">
        <f>IFERROR(__xludf.DUMMYFUNCTION("TEXTJOIN("","", TRUE, unique(filter('phase 3 route list'!$S$1:$S$200, 'phase 3 route list'!$D$1:$D$200=$B24)))"),"20 mins")</f>
        <v>20 mins</v>
      </c>
      <c r="M24" s="140">
        <f>IFERROR(__xludf.DUMMYFUNCTION("average(filter('phase 3 route list'!$J$1:$J$200, 'phase 3 route list'!$D$1:$D$200=$B24))"),35.0022751947445)</f>
        <v>35.00227519</v>
      </c>
      <c r="N24" s="140">
        <f>IFERROR(__xludf.DUMMYFUNCTION("average(filter('phase 3 route list'!$J$1:$J$200, 'phase 3 route list'!$D$1:$D$200=$B24, 'phase 3 route list'!$O$1:$O$200=""include""))"),35.0022751947445)</f>
        <v>35.00227519</v>
      </c>
      <c r="O24" s="125" t="s">
        <v>468</v>
      </c>
      <c r="P24" s="95"/>
      <c r="Q24" s="139" t="str">
        <f>IFERROR(__xludf.DUMMYFUNCTION("TEXTJOIN("","", TRUE, unique(filter('phase 3 route list'!$Q$1:$Q$200, 'phase 3 route list'!$D$1:$D$200=$B24, 'phase 3 route list'!$O$1:$O$200=""include"")))"),"9am-6pm")</f>
        <v>9am-6pm</v>
      </c>
      <c r="R24" s="144" t="s">
        <v>47</v>
      </c>
      <c r="S24" s="95" t="s">
        <v>453</v>
      </c>
      <c r="T24" s="95" t="s">
        <v>47</v>
      </c>
      <c r="U24" s="139" t="str">
        <f>IFERROR(__xludf.DUMMYFUNCTION("TEXTJOIN("","", TRUE, filter('phase 3 route list'!$K$1:$K$200, 'phase 3 route list'!$D$1:$D$200=$B24))"),"5000")</f>
        <v>5000</v>
      </c>
    </row>
    <row r="25">
      <c r="A25" s="42" t="s">
        <v>457</v>
      </c>
      <c r="B25" s="75" t="s">
        <v>387</v>
      </c>
      <c r="C25" s="75" t="s">
        <v>469</v>
      </c>
      <c r="D25" s="153" t="s">
        <v>35</v>
      </c>
      <c r="E25" s="42" t="s">
        <v>386</v>
      </c>
      <c r="F25" s="42" t="s">
        <v>470</v>
      </c>
      <c r="G25" s="42" t="s">
        <v>451</v>
      </c>
      <c r="K25" s="138"/>
      <c r="L25" s="95" t="s">
        <v>39</v>
      </c>
      <c r="M25" s="140">
        <f>IFERROR(__xludf.DUMMYFUNCTION("average(filter('phase 3 route list'!$J$1:$J$200, 'phase 3 route list'!$D$1:$D$200=$B25))"),34.75)</f>
        <v>34.75</v>
      </c>
      <c r="N25" s="140">
        <f>IFERROR(__xludf.DUMMYFUNCTION("average(filter('phase 3 route list'!$J$1:$J$200, 'phase 3 route list'!$D$1:$D$200=$B25, 'phase 3 route list'!$O$1:$O$200=""include""))"),34.75)</f>
        <v>34.75</v>
      </c>
      <c r="O25" s="125" t="s">
        <v>468</v>
      </c>
      <c r="P25" s="95"/>
      <c r="Q25" s="139" t="str">
        <f>IFERROR(__xludf.DUMMYFUNCTION("TEXTJOIN("","", TRUE, unique(filter('phase 3 route list'!$Q$1:$Q$200, 'phase 3 route list'!$D$1:$D$200=$B25, 'phase 3 route list'!$O$1:$O$200=""include"")))"),"2pm-6pm")</f>
        <v>2pm-6pm</v>
      </c>
      <c r="R25" s="144" t="s">
        <v>47</v>
      </c>
      <c r="S25" s="95" t="s">
        <v>453</v>
      </c>
      <c r="T25" s="95" t="s">
        <v>47</v>
      </c>
      <c r="U25" s="139" t="str">
        <f>IFERROR(__xludf.DUMMYFUNCTION("TEXTJOIN("","", TRUE, filter('phase 3 route list'!$K$1:$K$200, 'phase 3 route list'!$D$1:$D$200=$B25))"),"5000,5000")</f>
        <v>5000,5000</v>
      </c>
    </row>
    <row r="26">
      <c r="A26" s="42" t="s">
        <v>457</v>
      </c>
      <c r="B26" s="75" t="s">
        <v>387</v>
      </c>
      <c r="C26" s="75" t="s">
        <v>471</v>
      </c>
      <c r="D26" s="153" t="s">
        <v>35</v>
      </c>
      <c r="E26" s="42" t="s">
        <v>386</v>
      </c>
      <c r="F26" s="42" t="s">
        <v>472</v>
      </c>
      <c r="G26" s="42" t="s">
        <v>451</v>
      </c>
      <c r="K26" s="138"/>
      <c r="L26" s="95" t="s">
        <v>39</v>
      </c>
      <c r="M26" s="140">
        <f>IFERROR(__xludf.DUMMYFUNCTION("average(filter('phase 3 route list'!$J$1:$J$200, 'phase 3 route list'!$D$1:$D$200=$B26))"),34.75)</f>
        <v>34.75</v>
      </c>
      <c r="N26" s="140">
        <f>IFERROR(__xludf.DUMMYFUNCTION("average(filter('phase 3 route list'!$J$1:$J$200, 'phase 3 route list'!$D$1:$D$200=$B26, 'phase 3 route list'!$O$1:$O$200=""include""))"),34.75)</f>
        <v>34.75</v>
      </c>
      <c r="O26" s="125" t="s">
        <v>468</v>
      </c>
      <c r="P26" s="95"/>
      <c r="Q26" s="139" t="str">
        <f>IFERROR(__xludf.DUMMYFUNCTION("TEXTJOIN("","", TRUE, unique(filter('phase 3 route list'!$Q$1:$Q$200, 'phase 3 route list'!$D$1:$D$200=$B26, 'phase 3 route list'!$O$1:$O$200=""include"")))"),"2pm-6pm")</f>
        <v>2pm-6pm</v>
      </c>
      <c r="R26" s="144" t="s">
        <v>47</v>
      </c>
      <c r="S26" s="95" t="s">
        <v>453</v>
      </c>
      <c r="T26" s="95" t="s">
        <v>47</v>
      </c>
      <c r="U26" s="139" t="str">
        <f>IFERROR(__xludf.DUMMYFUNCTION("TEXTJOIN("","", TRUE, filter('phase 3 route list'!$K$1:$K$200, 'phase 3 route list'!$D$1:$D$200=$B26))"),"5000,5000")</f>
        <v>5000,5000</v>
      </c>
    </row>
    <row r="27" hidden="1">
      <c r="A27" s="42" t="s">
        <v>457</v>
      </c>
      <c r="B27" s="75" t="s">
        <v>404</v>
      </c>
      <c r="C27" s="75" t="s">
        <v>404</v>
      </c>
      <c r="D27" s="149" t="s">
        <v>80</v>
      </c>
      <c r="E27" s="42" t="s">
        <v>403</v>
      </c>
      <c r="G27" s="95" t="s">
        <v>455</v>
      </c>
      <c r="I27" s="42" t="s">
        <v>466</v>
      </c>
      <c r="K27" s="138"/>
      <c r="L27" s="139" t="str">
        <f>IFERROR(__xludf.DUMMYFUNCTION("TEXTJOIN("","", TRUE, unique(filter('phase 3 route list'!$S$1:$S$200, 'phase 3 route list'!$D$1:$D$200=$B27)))"),"")</f>
        <v/>
      </c>
      <c r="M27" s="140">
        <f>IFERROR(__xludf.DUMMYFUNCTION("average(filter('phase 3 route list'!$J$1:$J$200, 'phase 3 route list'!$D$1:$D$200=$B27))"),14.1)</f>
        <v>14.1</v>
      </c>
      <c r="N27" s="140" t="str">
        <f>IFERROR(__xludf.DUMMYFUNCTION("average(filter('phase 3 route list'!$J$1:$J$200, 'phase 3 route list'!$D$1:$D$200=$B27, 'phase 3 route list'!$O$1:$O$200=""include""))"),"#N/A")</f>
        <v>#N/A</v>
      </c>
      <c r="O27" s="141"/>
      <c r="P27" s="141" t="s">
        <v>468</v>
      </c>
      <c r="Q27" s="139" t="str">
        <f>IFERROR(__xludf.DUMMYFUNCTION("TEXTJOIN("","", TRUE, unique(filter('phase 3 route list'!$R$1:$R$200, 'phase 3 route list'!$D$1:$D$200=$B27, 'phase 3 route list'!$O$1:$O$200=""include"")))"),"#N/A")</f>
        <v>#N/A</v>
      </c>
      <c r="U27" s="139" t="str">
        <f>IFERROR(__xludf.DUMMYFUNCTION("TEXTJOIN("","", TRUE, filter('phase 3 route list'!$K$1:$K$200, 'phase 3 route list'!$D$1:$D$200=$B27))"),"3500")</f>
        <v>3500</v>
      </c>
    </row>
    <row r="28" hidden="1">
      <c r="A28" s="42" t="s">
        <v>457</v>
      </c>
      <c r="B28" s="75" t="s">
        <v>419</v>
      </c>
      <c r="C28" s="75" t="s">
        <v>419</v>
      </c>
      <c r="D28" s="145" t="s">
        <v>419</v>
      </c>
      <c r="E28" s="42" t="s">
        <v>418</v>
      </c>
      <c r="G28" s="95" t="s">
        <v>455</v>
      </c>
      <c r="K28" s="138"/>
      <c r="L28" s="139" t="str">
        <f>IFERROR(__xludf.DUMMYFUNCTION("TEXTJOIN("","", TRUE, unique(filter('phase 3 route list'!$S$1:$S$200, 'phase 3 route list'!$D$1:$D$200=$B28)))"),"30-40 mins")</f>
        <v>30-40 mins</v>
      </c>
      <c r="M28" s="140">
        <f>IFERROR(__xludf.DUMMYFUNCTION("average(filter('phase 3 route list'!$J$1:$J$200, 'phase 3 route list'!$D$1:$D$200=$B28))"),27.7)</f>
        <v>27.7</v>
      </c>
      <c r="N28" s="140" t="str">
        <f>IFERROR(__xludf.DUMMYFUNCTION("average(filter('phase 3 route list'!$J$1:$J$200, 'phase 3 route list'!$D$1:$D$200=$B28, 'phase 3 route list'!$O$1:$O$200=""include""))"),"#N/A")</f>
        <v>#N/A</v>
      </c>
      <c r="O28" s="146" t="s">
        <v>458</v>
      </c>
      <c r="P28" s="146" t="s">
        <v>458</v>
      </c>
      <c r="Q28" s="139" t="str">
        <f>IFERROR(__xludf.DUMMYFUNCTION("TEXTJOIN("","", TRUE, unique(filter('phase 3 route list'!$Q$1:$Q$200, 'phase 3 route list'!$D$1:$D$200=$B28, 'phase 3 route list'!$O$1:$O$200=""include"")))"),"#N/A")</f>
        <v>#N/A</v>
      </c>
      <c r="R28" s="154"/>
      <c r="S28" s="154" t="s">
        <v>473</v>
      </c>
      <c r="T28" s="95" t="s">
        <v>47</v>
      </c>
      <c r="U28" s="139" t="str">
        <f>IFERROR(__xludf.DUMMYFUNCTION("TEXTJOIN("","", TRUE, filter('phase 3 route list'!$K$1:$K$200, 'phase 3 route list'!$D$1:$D$200=$B28))"),"5000")</f>
        <v>5000</v>
      </c>
    </row>
    <row r="29" hidden="1">
      <c r="A29" s="42" t="s">
        <v>457</v>
      </c>
      <c r="B29" s="75" t="s">
        <v>370</v>
      </c>
      <c r="C29" s="75" t="s">
        <v>370</v>
      </c>
      <c r="D29" s="145" t="s">
        <v>370</v>
      </c>
      <c r="E29" s="42" t="s">
        <v>141</v>
      </c>
      <c r="G29" s="95" t="s">
        <v>455</v>
      </c>
      <c r="K29" s="138"/>
      <c r="L29" s="139" t="str">
        <f>IFERROR(__xludf.DUMMYFUNCTION("TEXTJOIN("","", TRUE, unique(filter('phase 3 route list'!$S$1:$S$200, 'phase 3 route list'!$D$1:$D$200=$B29)))"),"")</f>
        <v/>
      </c>
      <c r="M29" s="139">
        <f>IFERROR(__xludf.DUMMYFUNCTION("average(filter('phase 3 route list'!$J$1:$J$200, 'phase 3 route list'!$D$1:$D$200=$B29))"),22.2)</f>
        <v>22.2</v>
      </c>
      <c r="Q29" s="139" t="str">
        <f>IFERROR(__xludf.DUMMYFUNCTION("TEXTJOIN("","", TRUE, unique(filter('phase 3 route list'!$R$1:$R$200, 'phase 3 route list'!$D$1:$D$200=$B29, 'phase 3 route list'!$O$1:$O$200=""include"")))"),"#N/A")</f>
        <v>#N/A</v>
      </c>
      <c r="U29" s="139" t="str">
        <f>IFERROR(__xludf.DUMMYFUNCTION("TEXTJOIN("","", TRUE, filter('phase 3 route list'!$K$1:$K$200, 'phase 3 route list'!$D$1:$D$200=$B29))"),"4000")</f>
        <v>4000</v>
      </c>
    </row>
    <row r="30" hidden="1">
      <c r="A30" s="42" t="s">
        <v>457</v>
      </c>
      <c r="B30" s="75" t="s">
        <v>382</v>
      </c>
      <c r="C30" s="75" t="s">
        <v>382</v>
      </c>
      <c r="D30" s="137" t="s">
        <v>295</v>
      </c>
      <c r="E30" s="42" t="s">
        <v>231</v>
      </c>
      <c r="G30" s="95" t="s">
        <v>455</v>
      </c>
      <c r="K30" s="138"/>
      <c r="L30" s="139" t="str">
        <f>IFERROR(__xludf.DUMMYFUNCTION("TEXTJOIN("","", TRUE, unique(filter('phase 3 route list'!$S$1:$S$200, 'phase 3 route list'!$D$1:$D$200=$B30)))"),"60 mins")</f>
        <v>60 mins</v>
      </c>
      <c r="M30" s="139">
        <f>IFERROR(__xludf.DUMMYFUNCTION("average(filter('phase 3 route list'!$J$1:$J$200, 'phase 3 route list'!$D$1:$D$200=$B30))"),27.8)</f>
        <v>27.8</v>
      </c>
      <c r="Q30" s="139" t="str">
        <f>IFERROR(__xludf.DUMMYFUNCTION("TEXTJOIN("","", TRUE, unique(filter('phase 3 route list'!$R$1:$R$200, 'phase 3 route list'!$D$1:$D$200=$B30, 'phase 3 route list'!$O$1:$O$200=""include"")))"),"#N/A")</f>
        <v>#N/A</v>
      </c>
      <c r="U30" s="139" t="str">
        <f>IFERROR(__xludf.DUMMYFUNCTION("TEXTJOIN("","", TRUE, filter('phase 3 route list'!$K$1:$K$200, 'phase 3 route list'!$D$1:$D$200=$B30))"),"6000")</f>
        <v>6000</v>
      </c>
    </row>
    <row r="31" hidden="1">
      <c r="A31" s="42" t="s">
        <v>457</v>
      </c>
      <c r="B31" s="75" t="s">
        <v>394</v>
      </c>
      <c r="C31" s="75" t="s">
        <v>394</v>
      </c>
      <c r="D31" s="145" t="s">
        <v>394</v>
      </c>
      <c r="E31" s="42" t="s">
        <v>393</v>
      </c>
      <c r="G31" s="95" t="s">
        <v>455</v>
      </c>
      <c r="K31" s="138"/>
      <c r="L31" s="139" t="str">
        <f>IFERROR(__xludf.DUMMYFUNCTION("TEXTJOIN("","", TRUE, unique(filter('phase 3 route list'!$S$1:$S$200, 'phase 3 route list'!$D$1:$D$200=$B31)))"),"15 mins")</f>
        <v>15 mins</v>
      </c>
      <c r="M31" s="139">
        <f>IFERROR(__xludf.DUMMYFUNCTION("average(filter('phase 3 route list'!$J$1:$J$200, 'phase 3 route list'!$D$1:$D$200=$B31))"),3.3)</f>
        <v>3.3</v>
      </c>
      <c r="Q31" s="139" t="str">
        <f>IFERROR(__xludf.DUMMYFUNCTION("TEXTJOIN("","", TRUE, unique(filter('phase 3 route list'!$R$1:$R$200, 'phase 3 route list'!$D$1:$D$200=$B31, 'phase 3 route list'!$O$1:$O$200=""include"")))"),"#N/A")</f>
        <v>#N/A</v>
      </c>
      <c r="U31" s="139" t="str">
        <f>IFERROR(__xludf.DUMMYFUNCTION("TEXTJOIN("","", TRUE, filter('phase 3 route list'!$K$1:$K$200, 'phase 3 route list'!$D$1:$D$200=$B31))"),"")</f>
        <v/>
      </c>
    </row>
    <row r="32" hidden="1">
      <c r="A32" s="42" t="s">
        <v>457</v>
      </c>
      <c r="B32" s="75" t="s">
        <v>400</v>
      </c>
      <c r="C32" s="75" t="s">
        <v>400</v>
      </c>
      <c r="D32" s="145" t="s">
        <v>400</v>
      </c>
      <c r="E32" s="42" t="s">
        <v>399</v>
      </c>
      <c r="G32" s="95" t="s">
        <v>455</v>
      </c>
      <c r="K32" s="138"/>
      <c r="L32" s="139" t="str">
        <f>IFERROR(__xludf.DUMMYFUNCTION("TEXTJOIN("","", TRUE, unique(filter('phase 3 route list'!$S$1:$S$200, 'phase 3 route list'!$D$1:$D$200=$B32)))"),"")</f>
        <v/>
      </c>
      <c r="M32" s="139">
        <f>IFERROR(__xludf.DUMMYFUNCTION("average(filter('phase 3 route list'!$J$1:$J$200, 'phase 3 route list'!$D$1:$D$200=$B32))"),18.0)</f>
        <v>18</v>
      </c>
      <c r="Q32" s="139" t="str">
        <f>IFERROR(__xludf.DUMMYFUNCTION("TEXTJOIN("","", TRUE, unique(filter('phase 3 route list'!$R$1:$R$200, 'phase 3 route list'!$D$1:$D$200=$B32, 'phase 3 route list'!$O$1:$O$200=""include"")))"),"#N/A")</f>
        <v>#N/A</v>
      </c>
      <c r="U32" s="139" t="str">
        <f>IFERROR(__xludf.DUMMYFUNCTION("TEXTJOIN("","", TRUE, filter('phase 3 route list'!$K$1:$K$200, 'phase 3 route list'!$D$1:$D$200=$B32))"),"3000")</f>
        <v>3000</v>
      </c>
    </row>
    <row r="33" hidden="1">
      <c r="A33" s="42" t="s">
        <v>457</v>
      </c>
      <c r="B33" s="75" t="s">
        <v>422</v>
      </c>
      <c r="C33" s="75" t="s">
        <v>422</v>
      </c>
      <c r="D33" s="145" t="s">
        <v>422</v>
      </c>
      <c r="E33" s="42" t="s">
        <v>217</v>
      </c>
      <c r="G33" s="95" t="s">
        <v>455</v>
      </c>
      <c r="K33" s="138"/>
      <c r="L33" s="139" t="str">
        <f>IFERROR(__xludf.DUMMYFUNCTION("TEXTJOIN("","", TRUE, unique(filter('phase 3 route list'!$S$1:$S$200, 'phase 3 route list'!$D$1:$D$200=$B33)))"),"60 mins")</f>
        <v>60 mins</v>
      </c>
      <c r="M33" s="139">
        <f>IFERROR(__xludf.DUMMYFUNCTION("average(filter('phase 3 route list'!$J$1:$J$200, 'phase 3 route list'!$D$1:$D$200=$B33))"),12.7)</f>
        <v>12.7</v>
      </c>
      <c r="Q33" s="139" t="str">
        <f>IFERROR(__xludf.DUMMYFUNCTION("TEXTJOIN("","", TRUE, unique(filter('phase 3 route list'!$R$1:$R$200, 'phase 3 route list'!$D$1:$D$200=$B33, 'phase 3 route list'!$O$1:$O$200=""include"")))"),"#N/A")</f>
        <v>#N/A</v>
      </c>
      <c r="U33" s="139" t="str">
        <f>IFERROR(__xludf.DUMMYFUNCTION("TEXTJOIN("","", TRUE, filter('phase 3 route list'!$K$1:$K$200, 'phase 3 route list'!$D$1:$D$200=$B33))"),"4000")</f>
        <v>4000</v>
      </c>
    </row>
    <row r="34" hidden="1">
      <c r="A34" s="42" t="s">
        <v>457</v>
      </c>
      <c r="B34" s="75" t="s">
        <v>427</v>
      </c>
      <c r="C34" s="75" t="s">
        <v>427</v>
      </c>
      <c r="D34" s="145" t="s">
        <v>427</v>
      </c>
      <c r="E34" s="42" t="s">
        <v>426</v>
      </c>
      <c r="G34" s="95" t="s">
        <v>455</v>
      </c>
      <c r="K34" s="138"/>
      <c r="L34" s="139" t="str">
        <f>IFERROR(__xludf.DUMMYFUNCTION("TEXTJOIN("","", TRUE, unique(filter('phase 3 route list'!$S$1:$S$200, 'phase 3 route list'!$D$1:$D$200=$B34)))"),"")</f>
        <v/>
      </c>
      <c r="M34" s="139">
        <f>IFERROR(__xludf.DUMMYFUNCTION("average(filter('phase 3 route list'!$J$1:$J$200, 'phase 3 route list'!$D$1:$D$200=$B34))"),17.1)</f>
        <v>17.1</v>
      </c>
      <c r="Q34" s="139" t="str">
        <f>IFERROR(__xludf.DUMMYFUNCTION("TEXTJOIN("","", TRUE, unique(filter('phase 3 route list'!$R$1:$R$200, 'phase 3 route list'!$D$1:$D$200=$B34, 'phase 3 route list'!$O$1:$O$200=""include"")))"),"#N/A")</f>
        <v>#N/A</v>
      </c>
      <c r="U34" s="139" t="str">
        <f>IFERROR(__xludf.DUMMYFUNCTION("TEXTJOIN("","", TRUE, filter('phase 3 route list'!$K$1:$K$200, 'phase 3 route list'!$D$1:$D$200=$B34))"),"4000")</f>
        <v>4000</v>
      </c>
    </row>
    <row r="35" hidden="1">
      <c r="A35" s="135" t="s">
        <v>459</v>
      </c>
      <c r="B35" s="136" t="s">
        <v>142</v>
      </c>
      <c r="C35" s="136" t="s">
        <v>142</v>
      </c>
      <c r="D35" s="137" t="s">
        <v>143</v>
      </c>
      <c r="E35" s="135" t="s">
        <v>141</v>
      </c>
      <c r="F35" s="135"/>
      <c r="G35" s="95" t="s">
        <v>455</v>
      </c>
      <c r="K35" s="138"/>
      <c r="L35" s="139" t="str">
        <f>IFERROR(__xludf.DUMMYFUNCTION("TEXTJOIN("","", TRUE, unique(filter('phase 3 route list'!$S$1:$S$200, 'phase 3 route list'!$D$1:$D$200=$B35)))"),"")</f>
        <v/>
      </c>
      <c r="M35" s="139">
        <f>IFERROR(__xludf.DUMMYFUNCTION("average(filter('phase 3 route list'!$J$1:$J$200, 'phase 3 route list'!$D$1:$D$200=$B35))"),14.4210777284968)</f>
        <v>14.42107773</v>
      </c>
      <c r="Q35" s="139" t="str">
        <f>IFERROR(__xludf.DUMMYFUNCTION("TEXTJOIN("","", TRUE, unique(filter('phase 3 route list'!$R$1:$R$200, 'phase 3 route list'!$D$1:$D$200=$B35, 'phase 3 route list'!$O$1:$O$200=""include"")))"),"#N/A")</f>
        <v>#N/A</v>
      </c>
      <c r="U35" s="139" t="str">
        <f>IFERROR(__xludf.DUMMYFUNCTION("TEXTJOIN("","", TRUE, filter('phase 3 route list'!$K$1:$K$200, 'phase 3 route list'!$D$1:$D$200=$B35))"),"2000")</f>
        <v>2000</v>
      </c>
    </row>
    <row r="36" hidden="1">
      <c r="A36" s="135" t="s">
        <v>459</v>
      </c>
      <c r="B36" s="136" t="s">
        <v>149</v>
      </c>
      <c r="C36" s="136" t="s">
        <v>149</v>
      </c>
      <c r="D36" s="137" t="s">
        <v>150</v>
      </c>
      <c r="E36" s="135" t="s">
        <v>148</v>
      </c>
      <c r="F36" s="135"/>
      <c r="G36" s="95" t="s">
        <v>455</v>
      </c>
      <c r="K36" s="138"/>
      <c r="L36" s="139" t="str">
        <f>IFERROR(__xludf.DUMMYFUNCTION("TEXTJOIN("","", TRUE, unique(filter('phase 3 route list'!$S$1:$S$200, 'phase 3 route list'!$D$1:$D$200=$B36)))"),"")</f>
        <v/>
      </c>
      <c r="M36" s="139">
        <f>IFERROR(__xludf.DUMMYFUNCTION("average(filter('phase 3 route list'!$J$1:$J$200, 'phase 3 route list'!$D$1:$D$200=$B36))"),20.61981866232005)</f>
        <v>20.61981866</v>
      </c>
      <c r="Q36" s="139" t="str">
        <f>IFERROR(__xludf.DUMMYFUNCTION("TEXTJOIN("","", TRUE, unique(filter('phase 3 route list'!$R$1:$R$200, 'phase 3 route list'!$D$1:$D$200=$B36, 'phase 3 route list'!$O$1:$O$200=""include"")))"),"#N/A")</f>
        <v>#N/A</v>
      </c>
      <c r="U36" s="139" t="str">
        <f>IFERROR(__xludf.DUMMYFUNCTION("TEXTJOIN("","", TRUE, filter('phase 3 route list'!$K$1:$K$200, 'phase 3 route list'!$D$1:$D$200=$B36))"),"3000-4000,3000-4000")</f>
        <v>3000-4000,3000-4000</v>
      </c>
    </row>
    <row r="37" hidden="1">
      <c r="A37" s="135" t="s">
        <v>459</v>
      </c>
      <c r="B37" s="136" t="s">
        <v>163</v>
      </c>
      <c r="C37" s="136" t="s">
        <v>163</v>
      </c>
      <c r="D37" s="137"/>
      <c r="E37" s="135" t="s">
        <v>162</v>
      </c>
      <c r="F37" s="135"/>
      <c r="G37" s="95" t="s">
        <v>455</v>
      </c>
      <c r="K37" s="138"/>
      <c r="L37" s="139" t="str">
        <f>IFERROR(__xludf.DUMMYFUNCTION("TEXTJOIN("","", TRUE, unique(filter('phase 3 route list'!$S$1:$S$200, 'phase 3 route list'!$D$1:$D$200=$B37)))"),"30 mins")</f>
        <v>30 mins</v>
      </c>
      <c r="M37" s="139">
        <f>IFERROR(__xludf.DUMMYFUNCTION("average(filter('phase 3 route list'!$J$1:$J$200, 'phase 3 route list'!$D$1:$D$200=$B37))"),18.7413001700749)</f>
        <v>18.74130017</v>
      </c>
      <c r="Q37" s="139" t="str">
        <f>IFERROR(__xludf.DUMMYFUNCTION("TEXTJOIN("","", TRUE, unique(filter('phase 3 route list'!$R$1:$R$200, 'phase 3 route list'!$D$1:$D$200=$B37, 'phase 3 route list'!$O$1:$O$200=""include"")))"),"#N/A")</f>
        <v>#N/A</v>
      </c>
      <c r="U37" s="139" t="str">
        <f>IFERROR(__xludf.DUMMYFUNCTION("TEXTJOIN("","", TRUE, filter('phase 3 route list'!$K$1:$K$200, 'phase 3 route list'!$D$1:$D$200=$B37))"),"3000")</f>
        <v>3000</v>
      </c>
    </row>
    <row r="38" hidden="1">
      <c r="A38" s="135" t="s">
        <v>459</v>
      </c>
      <c r="B38" s="136" t="s">
        <v>170</v>
      </c>
      <c r="C38" s="136" t="s">
        <v>170</v>
      </c>
      <c r="D38" s="137" t="s">
        <v>130</v>
      </c>
      <c r="E38" s="135" t="s">
        <v>169</v>
      </c>
      <c r="F38" s="135"/>
      <c r="G38" s="95" t="s">
        <v>455</v>
      </c>
      <c r="K38" s="138"/>
      <c r="L38" s="139" t="str">
        <f>IFERROR(__xludf.DUMMYFUNCTION("TEXTJOIN("","", TRUE, unique(filter('phase 3 route list'!$S$1:$S$200, 'phase 3 route list'!$D$1:$D$200=$B38)))"),"upward sloping -- 30 mins in the morning, ?? in the afternoon")</f>
        <v>upward sloping -- 30 mins in the morning, ?? in the afternoon</v>
      </c>
      <c r="M38" s="139">
        <f>IFERROR(__xludf.DUMMYFUNCTION("average(filter('phase 3 route list'!$J$1:$J$200, 'phase 3 route list'!$D$1:$D$200=$B38))"),21.2129357408818)</f>
        <v>21.21293574</v>
      </c>
      <c r="Q38" s="139" t="str">
        <f>IFERROR(__xludf.DUMMYFUNCTION("TEXTJOIN("","", TRUE, unique(filter('phase 3 route list'!$R$1:$R$200, 'phase 3 route list'!$D$1:$D$200=$B38, 'phase 3 route list'!$O$1:$O$200=""include"")))"),"#N/A")</f>
        <v>#N/A</v>
      </c>
      <c r="U38" s="139" t="str">
        <f>IFERROR(__xludf.DUMMYFUNCTION("TEXTJOIN("","", TRUE, filter('phase 3 route list'!$K$1:$K$200, 'phase 3 route list'!$D$1:$D$200=$B38))"),"3000")</f>
        <v>3000</v>
      </c>
    </row>
    <row r="39" hidden="1">
      <c r="A39" s="135" t="s">
        <v>459</v>
      </c>
      <c r="B39" s="136" t="s">
        <v>164</v>
      </c>
      <c r="C39" s="136" t="s">
        <v>164</v>
      </c>
      <c r="D39" s="137" t="s">
        <v>178</v>
      </c>
      <c r="E39" s="135" t="s">
        <v>177</v>
      </c>
      <c r="F39" s="135"/>
      <c r="G39" s="95" t="s">
        <v>455</v>
      </c>
      <c r="K39" s="138"/>
      <c r="L39" s="139" t="str">
        <f>IFERROR(__xludf.DUMMYFUNCTION("TEXTJOIN("","", TRUE, unique(filter('phase 3 route list'!$S$1:$S$200, 'phase 3 route list'!$D$1:$D$200=$B39)))"),"")</f>
        <v/>
      </c>
      <c r="M39" s="139">
        <f>IFERROR(__xludf.DUMMYFUNCTION("average(filter('phase 3 route list'!$J$1:$J$200, 'phase 3 route list'!$D$1:$D$200=$B39))"),14.130682806094349)</f>
        <v>14.13068281</v>
      </c>
      <c r="Q39" s="139" t="str">
        <f>IFERROR(__xludf.DUMMYFUNCTION("TEXTJOIN("","", TRUE, unique(filter('phase 3 route list'!$R$1:$R$200, 'phase 3 route list'!$D$1:$D$200=$B39, 'phase 3 route list'!$O$1:$O$200=""include"")))"),"#N/A")</f>
        <v>#N/A</v>
      </c>
      <c r="U39" s="139" t="str">
        <f>IFERROR(__xludf.DUMMYFUNCTION("TEXTJOIN("","", TRUE, filter('phase 3 route list'!$K$1:$K$200, 'phase 3 route list'!$D$1:$D$200=$B39))"),"2000,2500")</f>
        <v>2000,2500</v>
      </c>
    </row>
    <row r="40">
      <c r="A40" s="135" t="s">
        <v>459</v>
      </c>
      <c r="B40" s="136" t="s">
        <v>116</v>
      </c>
      <c r="C40" s="136" t="s">
        <v>116</v>
      </c>
      <c r="D40" s="149" t="s">
        <v>35</v>
      </c>
      <c r="E40" s="155" t="s">
        <v>34</v>
      </c>
      <c r="F40" s="135"/>
      <c r="G40" s="42" t="s">
        <v>451</v>
      </c>
      <c r="K40" s="138"/>
      <c r="L40" s="139" t="str">
        <f>IFERROR(__xludf.DUMMYFUNCTION("TEXTJOIN("","", TRUE, unique(filter('phase 3 route list'!$S$1:$S$200, 'phase 3 route list'!$D$1:$D$200=$B40)))"),"20 mins,30 mins")</f>
        <v>20 mins,30 mins</v>
      </c>
      <c r="M40" s="140">
        <f>IFERROR(__xludf.DUMMYFUNCTION("average(filter('phase 3 route list'!$J$1:$J$200, 'phase 3 route list'!$D$1:$D$200=$B40))"),42.249323640674646)</f>
        <v>42.24932364</v>
      </c>
      <c r="N40" s="140">
        <f>IFERROR(__xludf.DUMMYFUNCTION("average(filter('phase 3 route list'!$J$1:$J$200, 'phase 3 route list'!$D$1:$D$200=$B40, 'phase 3 route list'!$O$1:$O$200=""include""))"),42.249323640674646)</f>
        <v>42.24932364</v>
      </c>
      <c r="O40" s="125" t="s">
        <v>468</v>
      </c>
      <c r="P40" s="141" t="s">
        <v>452</v>
      </c>
      <c r="Q40" s="139" t="str">
        <f>IFERROR(__xludf.DUMMYFUNCTION("TEXTJOIN("","", TRUE, unique(filter('phase 3 route list'!$Q$1:$Q$200, 'phase 3 route list'!$D$1:$D$200=$B40, 'phase 3 route list'!$O$1:$O$200=""include"")))"),"9am-6pm")</f>
        <v>9am-6pm</v>
      </c>
      <c r="R40" s="144" t="s">
        <v>47</v>
      </c>
      <c r="S40" s="95" t="s">
        <v>453</v>
      </c>
      <c r="T40" s="95" t="s">
        <v>47</v>
      </c>
      <c r="U40" s="139" t="str">
        <f>IFERROR(__xludf.DUMMYFUNCTION("TEXTJOIN("","", TRUE, filter('phase 3 route list'!$K$1:$K$200, 'phase 3 route list'!$D$1:$D$200=$B40))"),"6000,4000-5000-6000")</f>
        <v>6000,4000-5000-6000</v>
      </c>
    </row>
    <row r="41" hidden="1">
      <c r="A41" s="135" t="s">
        <v>459</v>
      </c>
      <c r="B41" s="136" t="s">
        <v>224</v>
      </c>
      <c r="C41" s="136" t="s">
        <v>224</v>
      </c>
      <c r="D41" s="137"/>
      <c r="E41" s="135" t="s">
        <v>223</v>
      </c>
      <c r="F41" s="135"/>
      <c r="G41" s="42" t="s">
        <v>474</v>
      </c>
      <c r="H41" s="42" t="s">
        <v>475</v>
      </c>
      <c r="K41" s="138"/>
      <c r="L41" s="139" t="str">
        <f>IFERROR(__xludf.DUMMYFUNCTION("TEXTJOIN("","", TRUE, unique(filter('phase 3 route list'!$S$1:$S$200, 'phase 3 route list'!$D$1:$D$200=$B41)))"),"")</f>
        <v/>
      </c>
      <c r="M41" s="139" t="str">
        <f>IFERROR(__xludf.DUMMYFUNCTION("average(filter('phase 3 route list'!$J$1:$J$200, 'phase 3 route list'!$D$1:$D$200=$B41))"),"#DIV/0!")</f>
        <v>#DIV/0!</v>
      </c>
      <c r="Q41" s="139" t="str">
        <f>IFERROR(__xludf.DUMMYFUNCTION("TEXTJOIN("","", TRUE, unique(filter('phase 3 route list'!$R$1:$R$200, 'phase 3 route list'!$D$1:$D$200=$B41, 'phase 3 route list'!$O$1:$O$200=""include"")))"),"#N/A")</f>
        <v>#N/A</v>
      </c>
      <c r="U41" s="139" t="str">
        <f>IFERROR(__xludf.DUMMYFUNCTION("TEXTJOIN("","", TRUE, filter('phase 3 route list'!$K$1:$K$200, 'phase 3 route list'!$D$1:$D$200=$B41))"),"1500")</f>
        <v>1500</v>
      </c>
    </row>
    <row r="42" hidden="1">
      <c r="A42" s="135" t="s">
        <v>459</v>
      </c>
      <c r="B42" s="136" t="s">
        <v>232</v>
      </c>
      <c r="C42" s="136" t="s">
        <v>232</v>
      </c>
      <c r="D42" s="137" t="s">
        <v>233</v>
      </c>
      <c r="E42" s="135" t="s">
        <v>231</v>
      </c>
      <c r="F42" s="135"/>
      <c r="G42" s="42" t="s">
        <v>474</v>
      </c>
      <c r="H42" s="42" t="s">
        <v>476</v>
      </c>
      <c r="K42" s="138"/>
      <c r="L42" s="139" t="str">
        <f>IFERROR(__xludf.DUMMYFUNCTION("TEXTJOIN("","", TRUE, unique(filter('phase 3 route list'!$S$1:$S$200, 'phase 3 route list'!$D$1:$D$200=$B42)))"),"")</f>
        <v/>
      </c>
      <c r="M42" s="139">
        <f>IFERROR(__xludf.DUMMYFUNCTION("average(filter('phase 3 route list'!$J$1:$J$200, 'phase 3 route list'!$D$1:$D$200=$B42))"),35.1597599123597)</f>
        <v>35.15975991</v>
      </c>
      <c r="Q42" s="139" t="str">
        <f>IFERROR(__xludf.DUMMYFUNCTION("TEXTJOIN("","", TRUE, unique(filter('phase 3 route list'!$R$1:$R$200, 'phase 3 route list'!$D$1:$D$200=$B42, 'phase 3 route list'!$O$1:$O$200=""include"")))"),"#N/A")</f>
        <v>#N/A</v>
      </c>
      <c r="U42" s="139" t="str">
        <f>IFERROR(__xludf.DUMMYFUNCTION("TEXTJOIN("","", TRUE, filter('phase 3 route list'!$K$1:$K$200, 'phase 3 route list'!$D$1:$D$200=$B42))"),"")</f>
        <v/>
      </c>
    </row>
    <row r="43">
      <c r="A43" s="135" t="s">
        <v>459</v>
      </c>
      <c r="B43" s="136" t="s">
        <v>130</v>
      </c>
      <c r="C43" s="136" t="s">
        <v>130</v>
      </c>
      <c r="D43" s="137" t="s">
        <v>131</v>
      </c>
      <c r="E43" s="135" t="s">
        <v>129</v>
      </c>
      <c r="F43" s="135"/>
      <c r="G43" s="42" t="s">
        <v>451</v>
      </c>
      <c r="K43" s="138"/>
      <c r="L43" s="95" t="s">
        <v>97</v>
      </c>
      <c r="M43" s="140">
        <f>IFERROR(__xludf.DUMMYFUNCTION("average(filter('phase 3 route list'!$J$1:$J$200, 'phase 3 route list'!$D$1:$D$200=$B43))"),33.3693582755743)</f>
        <v>33.36935828</v>
      </c>
      <c r="N43" s="140">
        <f>IFERROR(__xludf.DUMMYFUNCTION("average(filter('phase 3 route list'!$J$1:$J$200, 'phase 3 route list'!$D$1:$D$200=$B43, 'phase 3 route list'!$O$1:$O$200=""include""))"),16.3387165511486)</f>
        <v>16.33871655</v>
      </c>
      <c r="O43" s="125" t="s">
        <v>468</v>
      </c>
      <c r="P43" s="141" t="s">
        <v>452</v>
      </c>
      <c r="Q43" s="139" t="str">
        <f>IFERROR(__xludf.DUMMYFUNCTION("TEXTJOIN("","", TRUE, unique(filter('phase 3 route list'!$Q$1:$Q$200, 'phase 3 route list'!$D$1:$D$200=$B43, 'phase 3 route list'!$O$1:$O$200=""include"")))"),"12pm-4pm")</f>
        <v>12pm-4pm</v>
      </c>
      <c r="R43" s="95" t="s">
        <v>136</v>
      </c>
      <c r="S43" s="95" t="s">
        <v>453</v>
      </c>
      <c r="T43" s="95" t="s">
        <v>136</v>
      </c>
      <c r="U43" s="139" t="str">
        <f>IFERROR(__xludf.DUMMYFUNCTION("TEXTJOIN("","", TRUE, filter('phase 3 route list'!$K$1:$K$200, 'phase 3 route list'!$D$1:$D$200=$B43))"),"4000,7000")</f>
        <v>4000,7000</v>
      </c>
    </row>
    <row r="44" hidden="1">
      <c r="A44" s="135" t="s">
        <v>477</v>
      </c>
      <c r="B44" s="136" t="s">
        <v>478</v>
      </c>
      <c r="C44" s="136" t="s">
        <v>478</v>
      </c>
      <c r="D44" s="135"/>
      <c r="E44" s="135" t="s">
        <v>479</v>
      </c>
      <c r="F44" s="135"/>
      <c r="G44" s="156" t="s">
        <v>480</v>
      </c>
      <c r="H44" s="42" t="s">
        <v>481</v>
      </c>
      <c r="K44" s="138"/>
      <c r="L44" s="139" t="str">
        <f>IFERROR(__xludf.DUMMYFUNCTION("TEXTJOIN("","", TRUE, unique(filter('phase 3 route list'!$S$1:$S$200, 'phase 3 route list'!$D$1:$D$200=$B44)))"),"#N/A")</f>
        <v>#N/A</v>
      </c>
      <c r="M44" s="139" t="str">
        <f>IFERROR(__xludf.DUMMYFUNCTION("average(filter('phase 3 route list'!$J$1:$J$200, 'phase 3 route list'!$D$1:$D$200=$B44))"),"#N/A")</f>
        <v>#N/A</v>
      </c>
      <c r="Q44" s="139" t="str">
        <f>IFERROR(__xludf.DUMMYFUNCTION("TEXTJOIN("","", TRUE, unique(filter('phase 3 route list'!$R$1:$R$200, 'phase 3 route list'!$D$1:$D$200=$B44, 'phase 3 route list'!$O$1:$O$200=""include"")))"),"#N/A")</f>
        <v>#N/A</v>
      </c>
      <c r="U44" s="139" t="str">
        <f>IFERROR(__xludf.DUMMYFUNCTION("TEXTJOIN("","", TRUE, filter('phase 3 route list'!$K$1:$K$200, 'phase 3 route list'!$D$1:$D$200=$B44))"),"#N/A")</f>
        <v>#N/A</v>
      </c>
    </row>
    <row r="45" hidden="1">
      <c r="A45" s="135" t="s">
        <v>477</v>
      </c>
      <c r="B45" s="136" t="s">
        <v>482</v>
      </c>
      <c r="C45" s="136" t="s">
        <v>482</v>
      </c>
      <c r="D45" s="135"/>
      <c r="E45" s="135" t="s">
        <v>483</v>
      </c>
      <c r="F45" s="135"/>
      <c r="G45" s="156" t="s">
        <v>480</v>
      </c>
      <c r="H45" s="42" t="s">
        <v>481</v>
      </c>
      <c r="K45" s="138"/>
      <c r="L45" s="139" t="str">
        <f>IFERROR(__xludf.DUMMYFUNCTION("TEXTJOIN("","", TRUE, unique(filter('phase 3 route list'!$S$1:$S$200, 'phase 3 route list'!$D$1:$D$200=$B45)))"),"#N/A")</f>
        <v>#N/A</v>
      </c>
      <c r="M45" s="139" t="str">
        <f>IFERROR(__xludf.DUMMYFUNCTION("average(filter('phase 3 route list'!$J$1:$J$200, 'phase 3 route list'!$D$1:$D$200=$B45))"),"#N/A")</f>
        <v>#N/A</v>
      </c>
      <c r="Q45" s="139" t="str">
        <f>IFERROR(__xludf.DUMMYFUNCTION("TEXTJOIN("","", TRUE, unique(filter('phase 3 route list'!$R$1:$R$200, 'phase 3 route list'!$D$1:$D$200=$B45, 'phase 3 route list'!$O$1:$O$200=""include"")))"),"#N/A")</f>
        <v>#N/A</v>
      </c>
      <c r="U45" s="139" t="str">
        <f>IFERROR(__xludf.DUMMYFUNCTION("TEXTJOIN("","", TRUE, filter('phase 3 route list'!$K$1:$K$200, 'phase 3 route list'!$D$1:$D$200=$B45))"),"#N/A")</f>
        <v>#N/A</v>
      </c>
    </row>
    <row r="46" hidden="1">
      <c r="A46" s="135" t="s">
        <v>477</v>
      </c>
      <c r="B46" s="157" t="s">
        <v>484</v>
      </c>
      <c r="C46" s="157" t="s">
        <v>484</v>
      </c>
      <c r="D46" s="135"/>
      <c r="E46" s="143" t="s">
        <v>369</v>
      </c>
      <c r="F46" s="135"/>
      <c r="G46" s="156" t="s">
        <v>480</v>
      </c>
      <c r="H46" s="42" t="s">
        <v>481</v>
      </c>
      <c r="K46" s="138"/>
      <c r="L46" s="139" t="str">
        <f>IFERROR(__xludf.DUMMYFUNCTION("TEXTJOIN("","", TRUE, unique(filter('phase 3 route list'!$S$1:$S$200, 'phase 3 route list'!$D$1:$D$200=$B46)))"),"#N/A")</f>
        <v>#N/A</v>
      </c>
      <c r="M46" s="139" t="str">
        <f>IFERROR(__xludf.DUMMYFUNCTION("average(filter('phase 3 route list'!$J$1:$J$200, 'phase 3 route list'!$D$1:$D$200=$B46))"),"#N/A")</f>
        <v>#N/A</v>
      </c>
      <c r="Q46" s="139" t="str">
        <f>IFERROR(__xludf.DUMMYFUNCTION("TEXTJOIN("","", TRUE, unique(filter('phase 3 route list'!$R$1:$R$200, 'phase 3 route list'!$D$1:$D$200=$B46, 'phase 3 route list'!$O$1:$O$200=""include"")))"),"#N/A")</f>
        <v>#N/A</v>
      </c>
      <c r="U46" s="139" t="str">
        <f>IFERROR(__xludf.DUMMYFUNCTION("TEXTJOIN("","", TRUE, filter('phase 3 route list'!$K$1:$K$200, 'phase 3 route list'!$D$1:$D$200=$B46))"),"#N/A")</f>
        <v>#N/A</v>
      </c>
    </row>
    <row r="47" hidden="1">
      <c r="A47" s="135" t="s">
        <v>477</v>
      </c>
      <c r="B47" s="136" t="s">
        <v>485</v>
      </c>
      <c r="C47" s="136" t="s">
        <v>485</v>
      </c>
      <c r="D47" s="135"/>
      <c r="E47" s="135" t="s">
        <v>335</v>
      </c>
      <c r="F47" s="135"/>
      <c r="G47" s="156" t="s">
        <v>480</v>
      </c>
      <c r="H47" s="42" t="s">
        <v>481</v>
      </c>
      <c r="K47" s="138"/>
      <c r="L47" s="139" t="str">
        <f>IFERROR(__xludf.DUMMYFUNCTION("TEXTJOIN("","", TRUE, unique(filter('phase 3 route list'!$S$1:$S$200, 'phase 3 route list'!$D$1:$D$200=$B47)))"),"#N/A")</f>
        <v>#N/A</v>
      </c>
      <c r="M47" s="139" t="str">
        <f>IFERROR(__xludf.DUMMYFUNCTION("average(filter('phase 3 route list'!$J$1:$J$200, 'phase 3 route list'!$D$1:$D$200=$B47))"),"#N/A")</f>
        <v>#N/A</v>
      </c>
      <c r="Q47" s="139" t="str">
        <f>IFERROR(__xludf.DUMMYFUNCTION("TEXTJOIN("","", TRUE, unique(filter('phase 3 route list'!$R$1:$R$200, 'phase 3 route list'!$D$1:$D$200=$B47, 'phase 3 route list'!$O$1:$O$200=""include"")))"),"#N/A")</f>
        <v>#N/A</v>
      </c>
      <c r="U47" s="139" t="str">
        <f>IFERROR(__xludf.DUMMYFUNCTION("TEXTJOIN("","", TRUE, filter('phase 3 route list'!$K$1:$K$200, 'phase 3 route list'!$D$1:$D$200=$B47))"),"#N/A")</f>
        <v>#N/A</v>
      </c>
    </row>
    <row r="48" hidden="1">
      <c r="A48" s="135" t="s">
        <v>477</v>
      </c>
      <c r="B48" s="136" t="s">
        <v>486</v>
      </c>
      <c r="C48" s="136" t="s">
        <v>486</v>
      </c>
      <c r="D48" s="135"/>
      <c r="E48" s="135" t="s">
        <v>34</v>
      </c>
      <c r="F48" s="135"/>
      <c r="G48" s="156" t="s">
        <v>480</v>
      </c>
      <c r="H48" s="42" t="s">
        <v>481</v>
      </c>
      <c r="K48" s="138"/>
      <c r="L48" s="139" t="str">
        <f>IFERROR(__xludf.DUMMYFUNCTION("TEXTJOIN("","", TRUE, unique(filter('phase 3 route list'!$S$1:$S$200, 'phase 3 route list'!$D$1:$D$200=$B48)))"),"#N/A")</f>
        <v>#N/A</v>
      </c>
      <c r="M48" s="139" t="str">
        <f>IFERROR(__xludf.DUMMYFUNCTION("average(filter('phase 3 route list'!$J$1:$J$200, 'phase 3 route list'!$D$1:$D$200=$B48))"),"#N/A")</f>
        <v>#N/A</v>
      </c>
      <c r="Q48" s="139" t="str">
        <f>IFERROR(__xludf.DUMMYFUNCTION("TEXTJOIN("","", TRUE, unique(filter('phase 3 route list'!$R$1:$R$200, 'phase 3 route list'!$D$1:$D$200=$B48, 'phase 3 route list'!$O$1:$O$200=""include"")))"),"#N/A")</f>
        <v>#N/A</v>
      </c>
      <c r="U48" s="139" t="str">
        <f>IFERROR(__xludf.DUMMYFUNCTION("TEXTJOIN("","", TRUE, filter('phase 3 route list'!$K$1:$K$200, 'phase 3 route list'!$D$1:$D$200=$B48))"),"#N/A")</f>
        <v>#N/A</v>
      </c>
    </row>
    <row r="49" hidden="1">
      <c r="A49" s="135" t="s">
        <v>477</v>
      </c>
      <c r="B49" s="136" t="s">
        <v>487</v>
      </c>
      <c r="C49" s="136" t="s">
        <v>487</v>
      </c>
      <c r="D49" s="135"/>
      <c r="E49" s="135" t="s">
        <v>488</v>
      </c>
      <c r="F49" s="135"/>
      <c r="G49" s="156" t="s">
        <v>480</v>
      </c>
      <c r="H49" s="42" t="s">
        <v>481</v>
      </c>
      <c r="K49" s="138"/>
      <c r="L49" s="139" t="str">
        <f>IFERROR(__xludf.DUMMYFUNCTION("TEXTJOIN("","", TRUE, unique(filter('phase 3 route list'!$S$1:$S$200, 'phase 3 route list'!$D$1:$D$200=$B49)))"),"#N/A")</f>
        <v>#N/A</v>
      </c>
      <c r="M49" s="139" t="str">
        <f>IFERROR(__xludf.DUMMYFUNCTION("average(filter('phase 3 route list'!$J$1:$J$200, 'phase 3 route list'!$D$1:$D$200=$B49))"),"#N/A")</f>
        <v>#N/A</v>
      </c>
      <c r="Q49" s="139" t="str">
        <f>IFERROR(__xludf.DUMMYFUNCTION("TEXTJOIN("","", TRUE, unique(filter('phase 3 route list'!$R$1:$R$200, 'phase 3 route list'!$D$1:$D$200=$B49, 'phase 3 route list'!$O$1:$O$200=""include"")))"),"#N/A")</f>
        <v>#N/A</v>
      </c>
      <c r="U49" s="139" t="str">
        <f>IFERROR(__xludf.DUMMYFUNCTION("TEXTJOIN("","", TRUE, filter('phase 3 route list'!$K$1:$K$200, 'phase 3 route list'!$D$1:$D$200=$B49))"),"#N/A")</f>
        <v>#N/A</v>
      </c>
    </row>
    <row r="50" hidden="1">
      <c r="A50" s="135" t="s">
        <v>489</v>
      </c>
      <c r="B50" s="136" t="s">
        <v>490</v>
      </c>
      <c r="C50" s="136" t="s">
        <v>490</v>
      </c>
      <c r="D50" s="135"/>
      <c r="E50" s="135" t="s">
        <v>346</v>
      </c>
      <c r="F50" s="135"/>
      <c r="G50" s="156" t="s">
        <v>480</v>
      </c>
      <c r="H50" s="42" t="s">
        <v>481</v>
      </c>
      <c r="K50" s="138"/>
      <c r="L50" s="139" t="str">
        <f>IFERROR(__xludf.DUMMYFUNCTION("TEXTJOIN("","", TRUE, unique(filter('phase 3 route list'!$S$1:$S$200, 'phase 3 route list'!$D$1:$D$200=$B50)))"),"#N/A")</f>
        <v>#N/A</v>
      </c>
      <c r="M50" s="139" t="str">
        <f>IFERROR(__xludf.DUMMYFUNCTION("average(filter('phase 3 route list'!$J$1:$J$200, 'phase 3 route list'!$D$1:$D$200=$B50))"),"#N/A")</f>
        <v>#N/A</v>
      </c>
      <c r="Q50" s="139" t="str">
        <f>IFERROR(__xludf.DUMMYFUNCTION("TEXTJOIN("","", TRUE, unique(filter('phase 3 route list'!$R$1:$R$200, 'phase 3 route list'!$D$1:$D$200=$B50, 'phase 3 route list'!$O$1:$O$200=""include"")))"),"#N/A")</f>
        <v>#N/A</v>
      </c>
      <c r="U50" s="139" t="str">
        <f>IFERROR(__xludf.DUMMYFUNCTION("TEXTJOIN("","", TRUE, filter('phase 3 route list'!$K$1:$K$200, 'phase 3 route list'!$D$1:$D$200=$B50))"),"#N/A")</f>
        <v>#N/A</v>
      </c>
    </row>
    <row r="51" hidden="1">
      <c r="A51" s="135" t="s">
        <v>489</v>
      </c>
      <c r="B51" s="136" t="s">
        <v>491</v>
      </c>
      <c r="C51" s="136" t="s">
        <v>491</v>
      </c>
      <c r="D51" s="135"/>
      <c r="E51" s="135" t="s">
        <v>492</v>
      </c>
      <c r="F51" s="135"/>
      <c r="G51" s="156" t="s">
        <v>480</v>
      </c>
      <c r="H51" s="42" t="s">
        <v>481</v>
      </c>
      <c r="K51" s="138"/>
      <c r="L51" s="139" t="str">
        <f>IFERROR(__xludf.DUMMYFUNCTION("TEXTJOIN("","", TRUE, unique(filter('phase 3 route list'!$S$1:$S$200, 'phase 3 route list'!$D$1:$D$200=$B51)))"),"#N/A")</f>
        <v>#N/A</v>
      </c>
      <c r="M51" s="139" t="str">
        <f>IFERROR(__xludf.DUMMYFUNCTION("average(filter('phase 3 route list'!$J$1:$J$200, 'phase 3 route list'!$D$1:$D$200=$B51))"),"#N/A")</f>
        <v>#N/A</v>
      </c>
      <c r="Q51" s="139" t="str">
        <f>IFERROR(__xludf.DUMMYFUNCTION("TEXTJOIN("","", TRUE, unique(filter('phase 3 route list'!$R$1:$R$200, 'phase 3 route list'!$D$1:$D$200=$B51, 'phase 3 route list'!$O$1:$O$200=""include"")))"),"#N/A")</f>
        <v>#N/A</v>
      </c>
      <c r="U51" s="139" t="str">
        <f>IFERROR(__xludf.DUMMYFUNCTION("TEXTJOIN("","", TRUE, filter('phase 3 route list'!$K$1:$K$200, 'phase 3 route list'!$D$1:$D$200=$B51))"),"#N/A")</f>
        <v>#N/A</v>
      </c>
    </row>
    <row r="52" hidden="1">
      <c r="A52" s="135" t="s">
        <v>489</v>
      </c>
      <c r="B52" s="136" t="s">
        <v>493</v>
      </c>
      <c r="C52" s="136" t="s">
        <v>493</v>
      </c>
      <c r="D52" s="135"/>
      <c r="E52" s="135" t="s">
        <v>79</v>
      </c>
      <c r="F52" s="135"/>
      <c r="G52" s="156" t="s">
        <v>480</v>
      </c>
      <c r="H52" s="42" t="s">
        <v>481</v>
      </c>
      <c r="K52" s="138"/>
      <c r="L52" s="139" t="str">
        <f>IFERROR(__xludf.DUMMYFUNCTION("TEXTJOIN("","", TRUE, unique(filter('phase 3 route list'!$S$1:$S$200, 'phase 3 route list'!$D$1:$D$200=$B52)))"),"#N/A")</f>
        <v>#N/A</v>
      </c>
      <c r="M52" s="139" t="str">
        <f>IFERROR(__xludf.DUMMYFUNCTION("average(filter('phase 3 route list'!$J$1:$J$200, 'phase 3 route list'!$D$1:$D$200=$B52))"),"#N/A")</f>
        <v>#N/A</v>
      </c>
      <c r="Q52" s="139" t="str">
        <f>IFERROR(__xludf.DUMMYFUNCTION("TEXTJOIN("","", TRUE, unique(filter('phase 3 route list'!$R$1:$R$200, 'phase 3 route list'!$D$1:$D$200=$B52, 'phase 3 route list'!$O$1:$O$200=""include"")))"),"#N/A")</f>
        <v>#N/A</v>
      </c>
      <c r="U52" s="139" t="str">
        <f>IFERROR(__xludf.DUMMYFUNCTION("TEXTJOIN("","", TRUE, filter('phase 3 route list'!$K$1:$K$200, 'phase 3 route list'!$D$1:$D$200=$B52))"),"#N/A")</f>
        <v>#N/A</v>
      </c>
    </row>
    <row r="53" hidden="1">
      <c r="A53" s="135" t="s">
        <v>494</v>
      </c>
      <c r="B53" s="136" t="s">
        <v>495</v>
      </c>
      <c r="C53" s="136" t="s">
        <v>495</v>
      </c>
      <c r="D53" s="135"/>
      <c r="E53" s="135" t="s">
        <v>34</v>
      </c>
      <c r="F53" s="135"/>
      <c r="G53" s="156" t="s">
        <v>480</v>
      </c>
      <c r="H53" s="42" t="s">
        <v>481</v>
      </c>
      <c r="K53" s="138"/>
      <c r="L53" s="139" t="str">
        <f>IFERROR(__xludf.DUMMYFUNCTION("TEXTJOIN("","", TRUE, unique(filter('phase 3 route list'!$S$1:$S$200, 'phase 3 route list'!$D$1:$D$200=$B53)))"),"#N/A")</f>
        <v>#N/A</v>
      </c>
      <c r="M53" s="139" t="str">
        <f>IFERROR(__xludf.DUMMYFUNCTION("average(filter('phase 3 route list'!$J$1:$J$200, 'phase 3 route list'!$D$1:$D$200=$B53))"),"#N/A")</f>
        <v>#N/A</v>
      </c>
      <c r="Q53" s="139" t="str">
        <f>IFERROR(__xludf.DUMMYFUNCTION("TEXTJOIN("","", TRUE, unique(filter('phase 3 route list'!$R$1:$R$200, 'phase 3 route list'!$D$1:$D$200=$B53, 'phase 3 route list'!$O$1:$O$200=""include"")))"),"#N/A")</f>
        <v>#N/A</v>
      </c>
      <c r="U53" s="139" t="str">
        <f>IFERROR(__xludf.DUMMYFUNCTION("TEXTJOIN("","", TRUE, filter('phase 3 route list'!$K$1:$K$200, 'phase 3 route list'!$D$1:$D$200=$B53))"),"#N/A")</f>
        <v>#N/A</v>
      </c>
    </row>
    <row r="54" hidden="1">
      <c r="A54" s="135" t="s">
        <v>494</v>
      </c>
      <c r="B54" s="136" t="s">
        <v>496</v>
      </c>
      <c r="C54" s="136" t="s">
        <v>496</v>
      </c>
      <c r="D54" s="135"/>
      <c r="E54" s="135" t="s">
        <v>497</v>
      </c>
      <c r="F54" s="135"/>
      <c r="G54" s="156" t="s">
        <v>480</v>
      </c>
      <c r="H54" s="42" t="s">
        <v>481</v>
      </c>
      <c r="K54" s="138"/>
      <c r="L54" s="139" t="str">
        <f>IFERROR(__xludf.DUMMYFUNCTION("TEXTJOIN("","", TRUE, unique(filter('phase 3 route list'!$S$1:$S$200, 'phase 3 route list'!$D$1:$D$200=$B54)))"),"#N/A")</f>
        <v>#N/A</v>
      </c>
      <c r="M54" s="139" t="str">
        <f>IFERROR(__xludf.DUMMYFUNCTION("average(filter('phase 3 route list'!$J$1:$J$200, 'phase 3 route list'!$D$1:$D$200=$B54))"),"#N/A")</f>
        <v>#N/A</v>
      </c>
      <c r="Q54" s="139" t="str">
        <f>IFERROR(__xludf.DUMMYFUNCTION("TEXTJOIN("","", TRUE, unique(filter('phase 3 route list'!$R$1:$R$200, 'phase 3 route list'!$D$1:$D$200=$B54, 'phase 3 route list'!$O$1:$O$200=""include"")))"),"#N/A")</f>
        <v>#N/A</v>
      </c>
      <c r="U54" s="139" t="str">
        <f>IFERROR(__xludf.DUMMYFUNCTION("TEXTJOIN("","", TRUE, filter('phase 3 route list'!$K$1:$K$200, 'phase 3 route list'!$D$1:$D$200=$B54))"),"#N/A")</f>
        <v>#N/A</v>
      </c>
    </row>
    <row r="55" hidden="1">
      <c r="A55" s="143" t="s">
        <v>498</v>
      </c>
      <c r="B55" s="158" t="s">
        <v>499</v>
      </c>
      <c r="C55" s="158" t="s">
        <v>500</v>
      </c>
      <c r="D55" s="135"/>
      <c r="E55" s="159" t="s">
        <v>501</v>
      </c>
      <c r="F55" s="159" t="s">
        <v>470</v>
      </c>
      <c r="G55" s="156" t="s">
        <v>480</v>
      </c>
      <c r="H55" s="42" t="s">
        <v>481</v>
      </c>
      <c r="K55" s="138"/>
      <c r="L55" s="139" t="str">
        <f>IFERROR(__xludf.DUMMYFUNCTION("TEXTJOIN("","", TRUE, unique(filter('phase 3 route list'!$S$1:$S$200, 'phase 3 route list'!$D$1:$D$200=$B55)))"),"#N/A")</f>
        <v>#N/A</v>
      </c>
      <c r="M55" s="139" t="str">
        <f>IFERROR(__xludf.DUMMYFUNCTION("average(filter('phase 3 route list'!$J$1:$J$200, 'phase 3 route list'!$D$1:$D$200=$B55))"),"#N/A")</f>
        <v>#N/A</v>
      </c>
      <c r="Q55" s="139" t="str">
        <f>IFERROR(__xludf.DUMMYFUNCTION("TEXTJOIN("","", TRUE, unique(filter('phase 3 route list'!$R$1:$R$200, 'phase 3 route list'!$D$1:$D$200=$B55, 'phase 3 route list'!$O$1:$O$200=""include"")))"),"#N/A")</f>
        <v>#N/A</v>
      </c>
      <c r="U55" s="139" t="str">
        <f>IFERROR(__xludf.DUMMYFUNCTION("TEXTJOIN("","", TRUE, filter('phase 3 route list'!$K$1:$K$200, 'phase 3 route list'!$D$1:$D$200=$B55))"),"#N/A")</f>
        <v>#N/A</v>
      </c>
    </row>
    <row r="56" hidden="1">
      <c r="A56" s="143" t="s">
        <v>498</v>
      </c>
      <c r="B56" s="160" t="s">
        <v>499</v>
      </c>
      <c r="C56" s="161" t="s">
        <v>502</v>
      </c>
      <c r="D56" s="135"/>
      <c r="E56" s="162" t="s">
        <v>501</v>
      </c>
      <c r="F56" s="159" t="s">
        <v>472</v>
      </c>
      <c r="G56" s="156" t="s">
        <v>480</v>
      </c>
      <c r="H56" s="42" t="s">
        <v>481</v>
      </c>
      <c r="K56" s="138"/>
      <c r="L56" s="139" t="str">
        <f>IFERROR(__xludf.DUMMYFUNCTION("TEXTJOIN("","", TRUE, unique(filter('phase 3 route list'!$S$1:$S$200, 'phase 3 route list'!$D$1:$D$200=$B56)))"),"#N/A")</f>
        <v>#N/A</v>
      </c>
      <c r="M56" s="139" t="str">
        <f>IFERROR(__xludf.DUMMYFUNCTION("average(filter('phase 3 route list'!$J$1:$J$200, 'phase 3 route list'!$D$1:$D$200=$B56))"),"#N/A")</f>
        <v>#N/A</v>
      </c>
      <c r="Q56" s="139" t="str">
        <f>IFERROR(__xludf.DUMMYFUNCTION("TEXTJOIN("","", TRUE, unique(filter('phase 3 route list'!$R$1:$R$200, 'phase 3 route list'!$D$1:$D$200=$B56, 'phase 3 route list'!$O$1:$O$200=""include"")))"),"#N/A")</f>
        <v>#N/A</v>
      </c>
      <c r="U56" s="139" t="str">
        <f>IFERROR(__xludf.DUMMYFUNCTION("TEXTJOIN("","", TRUE, filter('phase 3 route list'!$K$1:$K$200, 'phase 3 route list'!$D$1:$D$200=$B56))"),"#N/A")</f>
        <v>#N/A</v>
      </c>
    </row>
    <row r="57" hidden="1">
      <c r="A57" s="135" t="s">
        <v>450</v>
      </c>
      <c r="B57" s="163" t="s">
        <v>239</v>
      </c>
      <c r="C57" s="136" t="s">
        <v>239</v>
      </c>
      <c r="D57" s="137" t="s">
        <v>240</v>
      </c>
      <c r="E57" s="164" t="s">
        <v>238</v>
      </c>
      <c r="F57" s="135"/>
      <c r="G57" s="95" t="s">
        <v>455</v>
      </c>
      <c r="K57" s="138"/>
      <c r="L57" s="139" t="str">
        <f>IFERROR(__xludf.DUMMYFUNCTION("TEXTJOIN("","", TRUE, unique(filter('phase 3 route list'!$S$1:$S$200, 'phase 3 route list'!$D$1:$D$200=$B57)))"),"")</f>
        <v/>
      </c>
      <c r="M57" s="139">
        <f>IFERROR(__xludf.DUMMYFUNCTION("average(filter('phase 3 route list'!$J$1:$J$200, 'phase 3 route list'!$D$1:$D$200=$B57))"),6.698236963686485)</f>
        <v>6.698236964</v>
      </c>
      <c r="Q57" s="139" t="str">
        <f>IFERROR(__xludf.DUMMYFUNCTION("TEXTJOIN("","", TRUE, unique(filter('phase 3 route list'!$R$1:$R$200, 'phase 3 route list'!$D$1:$D$200=$B57, 'phase 3 route list'!$O$1:$O$200=""include"")))"),"#N/A")</f>
        <v>#N/A</v>
      </c>
      <c r="U57" s="139" t="str">
        <f>IFERROR(__xludf.DUMMYFUNCTION("TEXTJOIN("","", TRUE, filter('phase 3 route list'!$K$1:$K$200, 'phase 3 route list'!$D$1:$D$200=$B57))"),"2000")</f>
        <v>2000</v>
      </c>
    </row>
    <row r="58" hidden="1">
      <c r="A58" s="135" t="s">
        <v>450</v>
      </c>
      <c r="B58" s="136" t="s">
        <v>250</v>
      </c>
      <c r="C58" s="136" t="s">
        <v>250</v>
      </c>
      <c r="D58" s="137" t="s">
        <v>35</v>
      </c>
      <c r="E58" s="135" t="s">
        <v>34</v>
      </c>
      <c r="F58" s="135"/>
      <c r="G58" s="95" t="s">
        <v>455</v>
      </c>
      <c r="I58" s="42" t="s">
        <v>503</v>
      </c>
      <c r="K58" s="138"/>
      <c r="L58" s="139" t="str">
        <f>IFERROR(__xludf.DUMMYFUNCTION("TEXTJOIN("","", TRUE, unique(filter('phase 3 route list'!$S$1:$S$200, 'phase 3 route list'!$D$1:$D$200=$B58)))"),"45 mins")</f>
        <v>45 mins</v>
      </c>
      <c r="M58" s="139">
        <f>IFERROR(__xludf.DUMMYFUNCTION("average(filter('phase 3 route list'!$J$1:$J$200, 'phase 3 route list'!$D$1:$D$200=$B58))"),42.4720401141703)</f>
        <v>42.47204011</v>
      </c>
      <c r="Q58" s="139" t="str">
        <f>IFERROR(__xludf.DUMMYFUNCTION("TEXTJOIN("","", TRUE, unique(filter('phase 3 route list'!$R$1:$R$200, 'phase 3 route list'!$D$1:$D$200=$B58, 'phase 3 route list'!$O$1:$O$200=""include"")))"),"#N/A")</f>
        <v>#N/A</v>
      </c>
      <c r="U58" s="139" t="str">
        <f>IFERROR(__xludf.DUMMYFUNCTION("TEXTJOIN("","", TRUE, filter('phase 3 route list'!$K$1:$K$200, 'phase 3 route list'!$D$1:$D$200=$B58))"),"5000")</f>
        <v>5000</v>
      </c>
    </row>
    <row r="59" hidden="1">
      <c r="A59" s="135" t="s">
        <v>450</v>
      </c>
      <c r="B59" s="136" t="s">
        <v>255</v>
      </c>
      <c r="C59" s="136" t="s">
        <v>255</v>
      </c>
      <c r="D59" s="137" t="s">
        <v>256</v>
      </c>
      <c r="E59" s="135" t="s">
        <v>254</v>
      </c>
      <c r="F59" s="135"/>
      <c r="G59" s="42" t="s">
        <v>474</v>
      </c>
      <c r="H59" s="42" t="s">
        <v>504</v>
      </c>
      <c r="K59" s="138"/>
      <c r="L59" s="139" t="str">
        <f>IFERROR(__xludf.DUMMYFUNCTION("TEXTJOIN("","", TRUE, unique(filter('phase 3 route list'!$S$1:$S$200, 'phase 3 route list'!$D$1:$D$200=$B59)))"),"")</f>
        <v/>
      </c>
      <c r="M59" s="139">
        <f>IFERROR(__xludf.DUMMYFUNCTION("average(filter('phase 3 route list'!$J$1:$J$200, 'phase 3 route list'!$D$1:$D$200=$B59))"),12.130957118557)</f>
        <v>12.13095712</v>
      </c>
      <c r="Q59" s="139" t="str">
        <f>IFERROR(__xludf.DUMMYFUNCTION("TEXTJOIN("","", TRUE, unique(filter('phase 3 route list'!$R$1:$R$200, 'phase 3 route list'!$D$1:$D$200=$B59, 'phase 3 route list'!$O$1:$O$200=""include"")))"),"#N/A")</f>
        <v>#N/A</v>
      </c>
      <c r="U59" s="139" t="str">
        <f>IFERROR(__xludf.DUMMYFUNCTION("TEXTJOIN("","", TRUE, filter('phase 3 route list'!$K$1:$K$200, 'phase 3 route list'!$D$1:$D$200=$B59))"),"3000")</f>
        <v>3000</v>
      </c>
    </row>
    <row r="60" ht="25.5" hidden="1" customHeight="1">
      <c r="A60" s="135" t="s">
        <v>450</v>
      </c>
      <c r="B60" s="136" t="s">
        <v>131</v>
      </c>
      <c r="C60" s="136" t="s">
        <v>131</v>
      </c>
      <c r="D60" s="137" t="s">
        <v>262</v>
      </c>
      <c r="E60" s="135" t="s">
        <v>261</v>
      </c>
      <c r="F60" s="135"/>
      <c r="G60" s="95" t="s">
        <v>455</v>
      </c>
      <c r="K60" s="138"/>
      <c r="L60" s="139" t="str">
        <f>IFERROR(__xludf.DUMMYFUNCTION("TEXTJOIN("","", TRUE, unique(filter('phase 3 route list'!$S$1:$S$200, 'phase 3 route list'!$D$1:$D$200=$B60)))"),"")</f>
        <v/>
      </c>
      <c r="M60" s="139">
        <f>IFERROR(__xludf.DUMMYFUNCTION("average(filter('phase 3 route list'!$J$1:$J$200, 'phase 3 route list'!$D$1:$D$200=$B60))"),17.4063362108886)</f>
        <v>17.40633621</v>
      </c>
      <c r="Q60" s="139" t="str">
        <f>IFERROR(__xludf.DUMMYFUNCTION("TEXTJOIN("","", TRUE, unique(filter('phase 3 route list'!$R$1:$R$200, 'phase 3 route list'!$D$1:$D$200=$B60, 'phase 3 route list'!$O$1:$O$200=""include"")))"),"#N/A")</f>
        <v>#N/A</v>
      </c>
      <c r="U60" s="139" t="str">
        <f>IFERROR(__xludf.DUMMYFUNCTION("TEXTJOIN("","", TRUE, filter('phase 3 route list'!$K$1:$K$200, 'phase 3 route list'!$D$1:$D$200=$B60))"),"2000-3000-10000")</f>
        <v>2000-3000-10000</v>
      </c>
    </row>
    <row r="61" hidden="1">
      <c r="A61" s="135" t="s">
        <v>450</v>
      </c>
      <c r="B61" s="136" t="s">
        <v>143</v>
      </c>
      <c r="C61" s="136" t="s">
        <v>143</v>
      </c>
      <c r="D61" s="137" t="s">
        <v>275</v>
      </c>
      <c r="E61" s="135" t="s">
        <v>274</v>
      </c>
      <c r="F61" s="135"/>
      <c r="G61" s="95" t="s">
        <v>455</v>
      </c>
      <c r="K61" s="138"/>
      <c r="L61" s="139" t="str">
        <f>IFERROR(__xludf.DUMMYFUNCTION("TEXTJOIN("","", TRUE, unique(filter('phase 3 route list'!$S$1:$S$200, 'phase 3 route list'!$D$1:$D$200=$B61)))"),"")</f>
        <v/>
      </c>
      <c r="M61" s="139">
        <f>IFERROR(__xludf.DUMMYFUNCTION("average(filter('phase 3 route list'!$J$1:$J$200, 'phase 3 route list'!$D$1:$D$200=$B61))"),15.847807398492801)</f>
        <v>15.8478074</v>
      </c>
      <c r="Q61" s="139" t="str">
        <f>IFERROR(__xludf.DUMMYFUNCTION("TEXTJOIN("","", TRUE, unique(filter('phase 3 route list'!$R$1:$R$200, 'phase 3 route list'!$D$1:$D$200=$B61, 'phase 3 route list'!$O$1:$O$200=""include"")))"),"#N/A")</f>
        <v>#N/A</v>
      </c>
      <c r="U61" s="139" t="str">
        <f>IFERROR(__xludf.DUMMYFUNCTION("TEXTJOIN("","", TRUE, filter('phase 3 route list'!$K$1:$K$200, 'phase 3 route list'!$D$1:$D$200=$B61))"),"3000,3000")</f>
        <v>3000,3000</v>
      </c>
    </row>
    <row r="62" hidden="1">
      <c r="A62" s="135" t="s">
        <v>450</v>
      </c>
      <c r="B62" s="136" t="s">
        <v>284</v>
      </c>
      <c r="C62" s="136" t="s">
        <v>284</v>
      </c>
      <c r="D62" s="137" t="s">
        <v>285</v>
      </c>
      <c r="E62" s="143" t="s">
        <v>283</v>
      </c>
      <c r="F62" s="135"/>
      <c r="G62" s="95" t="s">
        <v>455</v>
      </c>
      <c r="K62" s="138"/>
      <c r="L62" s="139" t="str">
        <f>IFERROR(__xludf.DUMMYFUNCTION("TEXTJOIN("","", TRUE, unique(filter('phase 3 route list'!$S$1:$S$200, 'phase 3 route list'!$D$1:$D$200=$B62)))"),"")</f>
        <v/>
      </c>
      <c r="M62" s="139">
        <f>IFERROR(__xludf.DUMMYFUNCTION("average(filter('phase 3 route list'!$J$1:$J$200, 'phase 3 route list'!$D$1:$D$200=$B62))"),6.698236963686485)</f>
        <v>6.698236964</v>
      </c>
      <c r="Q62" s="139" t="str">
        <f>IFERROR(__xludf.DUMMYFUNCTION("TEXTJOIN("","", TRUE, unique(filter('phase 3 route list'!$R$1:$R$200, 'phase 3 route list'!$D$1:$D$200=$B62, 'phase 3 route list'!$O$1:$O$200=""include"")))"),"#N/A")</f>
        <v>#N/A</v>
      </c>
      <c r="U62" s="139" t="str">
        <f>IFERROR(__xludf.DUMMYFUNCTION("TEXTJOIN("","", TRUE, filter('phase 3 route list'!$K$1:$K$200, 'phase 3 route list'!$D$1:$D$200=$B62))"),"2000")</f>
        <v>2000</v>
      </c>
    </row>
    <row r="63" hidden="1">
      <c r="A63" s="143" t="s">
        <v>505</v>
      </c>
      <c r="B63" s="157" t="s">
        <v>506</v>
      </c>
      <c r="C63" s="157" t="s">
        <v>506</v>
      </c>
      <c r="D63" s="135"/>
      <c r="E63" s="135" t="s">
        <v>507</v>
      </c>
      <c r="F63" s="135"/>
      <c r="G63" s="156" t="s">
        <v>480</v>
      </c>
      <c r="H63" s="42" t="s">
        <v>481</v>
      </c>
      <c r="K63" s="138"/>
      <c r="L63" s="139" t="str">
        <f>IFERROR(__xludf.DUMMYFUNCTION("TEXTJOIN("","", TRUE, unique(filter('phase 3 route list'!$S$1:$S$200, 'phase 3 route list'!$D$1:$D$200=$B63)))"),"#N/A")</f>
        <v>#N/A</v>
      </c>
      <c r="M63" s="139" t="str">
        <f>IFERROR(__xludf.DUMMYFUNCTION("average(filter('phase 3 route list'!$J$1:$J$200, 'phase 3 route list'!$D$1:$D$200=$B63))"),"#N/A")</f>
        <v>#N/A</v>
      </c>
      <c r="Q63" s="139" t="str">
        <f>IFERROR(__xludf.DUMMYFUNCTION("TEXTJOIN("","", TRUE, unique(filter('phase 3 route list'!$R$1:$R$200, 'phase 3 route list'!$D$1:$D$200=$B63, 'phase 3 route list'!$O$1:$O$200=""include"")))"),"#N/A")</f>
        <v>#N/A</v>
      </c>
      <c r="U63" s="139" t="str">
        <f>IFERROR(__xludf.DUMMYFUNCTION("TEXTJOIN("","", TRUE, filter('phase 3 route list'!$K$1:$K$200, 'phase 3 route list'!$D$1:$D$200=$B63))"),"#N/A")</f>
        <v>#N/A</v>
      </c>
    </row>
    <row r="64" hidden="1">
      <c r="A64" s="135" t="s">
        <v>505</v>
      </c>
      <c r="B64" s="136" t="s">
        <v>508</v>
      </c>
      <c r="C64" s="136" t="s">
        <v>508</v>
      </c>
      <c r="D64" s="135"/>
      <c r="E64" s="135" t="s">
        <v>509</v>
      </c>
      <c r="F64" s="135"/>
      <c r="G64" s="156" t="s">
        <v>480</v>
      </c>
      <c r="H64" s="42" t="s">
        <v>481</v>
      </c>
      <c r="K64" s="138"/>
      <c r="L64" s="139" t="str">
        <f>IFERROR(__xludf.DUMMYFUNCTION("TEXTJOIN("","", TRUE, unique(filter('phase 3 route list'!$S$1:$S$200, 'phase 3 route list'!$D$1:$D$200=$B64)))"),"#N/A")</f>
        <v>#N/A</v>
      </c>
      <c r="M64" s="139" t="str">
        <f>IFERROR(__xludf.DUMMYFUNCTION("average(filter('phase 3 route list'!$J$1:$J$200, 'phase 3 route list'!$D$1:$D$200=$B64))"),"#N/A")</f>
        <v>#N/A</v>
      </c>
      <c r="Q64" s="139" t="str">
        <f>IFERROR(__xludf.DUMMYFUNCTION("TEXTJOIN("","", TRUE, unique(filter('phase 3 route list'!$R$1:$R$200, 'phase 3 route list'!$D$1:$D$200=$B64, 'phase 3 route list'!$O$1:$O$200=""include"")))"),"#N/A")</f>
        <v>#N/A</v>
      </c>
      <c r="U64" s="139" t="str">
        <f>IFERROR(__xludf.DUMMYFUNCTION("TEXTJOIN("","", TRUE, filter('phase 3 route list'!$K$1:$K$200, 'phase 3 route list'!$D$1:$D$200=$B64))"),"#N/A")</f>
        <v>#N/A</v>
      </c>
    </row>
    <row r="65" hidden="1">
      <c r="A65" s="135" t="s">
        <v>505</v>
      </c>
      <c r="B65" s="75" t="s">
        <v>510</v>
      </c>
      <c r="C65" s="137" t="s">
        <v>511</v>
      </c>
      <c r="D65" s="135"/>
      <c r="E65" s="143" t="s">
        <v>512</v>
      </c>
      <c r="F65" s="143"/>
      <c r="G65" s="156" t="s">
        <v>480</v>
      </c>
      <c r="H65" s="42" t="s">
        <v>481</v>
      </c>
      <c r="K65" s="138"/>
      <c r="L65" s="139" t="str">
        <f>IFERROR(__xludf.DUMMYFUNCTION("TEXTJOIN("","", TRUE, unique(filter('phase 3 route list'!$S$1:$S$200, 'phase 3 route list'!$D$1:$D$200=$B65)))"),"#N/A")</f>
        <v>#N/A</v>
      </c>
      <c r="M65" s="139" t="str">
        <f>IFERROR(__xludf.DUMMYFUNCTION("average(filter('phase 3 route list'!$J$1:$J$200, 'phase 3 route list'!$D$1:$D$200=$B65))"),"#N/A")</f>
        <v>#N/A</v>
      </c>
      <c r="Q65" s="139" t="str">
        <f>IFERROR(__xludf.DUMMYFUNCTION("TEXTJOIN("","", TRUE, unique(filter('phase 3 route list'!$R$1:$R$200, 'phase 3 route list'!$D$1:$D$200=$B65, 'phase 3 route list'!$O$1:$O$200=""include"")))"),"#N/A")</f>
        <v>#N/A</v>
      </c>
      <c r="U65" s="139" t="str">
        <f>IFERROR(__xludf.DUMMYFUNCTION("TEXTJOIN("","", TRUE, filter('phase 3 route list'!$K$1:$K$200, 'phase 3 route list'!$D$1:$D$200=$B65))"),"#N/A")</f>
        <v>#N/A</v>
      </c>
    </row>
    <row r="66" hidden="1">
      <c r="A66" s="135" t="s">
        <v>505</v>
      </c>
      <c r="B66" s="75" t="s">
        <v>510</v>
      </c>
      <c r="C66" s="137" t="s">
        <v>513</v>
      </c>
      <c r="D66" s="135"/>
      <c r="E66" s="135" t="s">
        <v>343</v>
      </c>
      <c r="F66" s="135"/>
      <c r="G66" s="156" t="s">
        <v>480</v>
      </c>
      <c r="H66" s="42" t="s">
        <v>481</v>
      </c>
      <c r="K66" s="138"/>
      <c r="L66" s="139" t="str">
        <f>IFERROR(__xludf.DUMMYFUNCTION("TEXTJOIN("","", TRUE, unique(filter('phase 3 route list'!$S$1:$S$200, 'phase 3 route list'!$D$1:$D$200=$B66)))"),"#N/A")</f>
        <v>#N/A</v>
      </c>
      <c r="M66" s="139" t="str">
        <f>IFERROR(__xludf.DUMMYFUNCTION("average(filter('phase 3 route list'!$J$1:$J$200, 'phase 3 route list'!$D$1:$D$200=$B66))"),"#N/A")</f>
        <v>#N/A</v>
      </c>
      <c r="Q66" s="139" t="str">
        <f>IFERROR(__xludf.DUMMYFUNCTION("TEXTJOIN("","", TRUE, unique(filter('phase 3 route list'!$R$1:$R$200, 'phase 3 route list'!$D$1:$D$200=$B66, 'phase 3 route list'!$O$1:$O$200=""include"")))"),"#N/A")</f>
        <v>#N/A</v>
      </c>
      <c r="U66" s="139" t="str">
        <f>IFERROR(__xludf.DUMMYFUNCTION("TEXTJOIN("","", TRUE, filter('phase 3 route list'!$K$1:$K$200, 'phase 3 route list'!$D$1:$D$200=$B66))"),"#N/A")</f>
        <v>#N/A</v>
      </c>
    </row>
    <row r="67" hidden="1">
      <c r="A67" s="135" t="s">
        <v>505</v>
      </c>
      <c r="B67" s="75" t="s">
        <v>510</v>
      </c>
      <c r="C67" s="137" t="s">
        <v>514</v>
      </c>
      <c r="D67" s="135"/>
      <c r="E67" s="135" t="s">
        <v>515</v>
      </c>
      <c r="F67" s="135"/>
      <c r="G67" s="156" t="s">
        <v>480</v>
      </c>
      <c r="H67" s="42" t="s">
        <v>481</v>
      </c>
      <c r="K67" s="138"/>
      <c r="L67" s="139" t="str">
        <f>IFERROR(__xludf.DUMMYFUNCTION("TEXTJOIN("","", TRUE, unique(filter('phase 3 route list'!$S$1:$S$200, 'phase 3 route list'!$D$1:$D$200=$B67)))"),"#N/A")</f>
        <v>#N/A</v>
      </c>
      <c r="M67" s="139" t="str">
        <f>IFERROR(__xludf.DUMMYFUNCTION("average(filter('phase 3 route list'!$J$1:$J$200, 'phase 3 route list'!$D$1:$D$200=$B67))"),"#N/A")</f>
        <v>#N/A</v>
      </c>
      <c r="Q67" s="139" t="str">
        <f>IFERROR(__xludf.DUMMYFUNCTION("TEXTJOIN("","", TRUE, unique(filter('phase 3 route list'!$R$1:$R$200, 'phase 3 route list'!$D$1:$D$200=$B67, 'phase 3 route list'!$O$1:$O$200=""include"")))"),"#N/A")</f>
        <v>#N/A</v>
      </c>
      <c r="U67" s="139" t="str">
        <f>IFERROR(__xludf.DUMMYFUNCTION("TEXTJOIN("","", TRUE, filter('phase 3 route list'!$K$1:$K$200, 'phase 3 route list'!$D$1:$D$200=$B67))"),"#N/A")</f>
        <v>#N/A</v>
      </c>
    </row>
    <row r="68" hidden="1">
      <c r="A68" s="135" t="s">
        <v>505</v>
      </c>
      <c r="B68" s="75" t="s">
        <v>510</v>
      </c>
      <c r="C68" s="137" t="s">
        <v>516</v>
      </c>
      <c r="D68" s="135"/>
      <c r="E68" s="135" t="s">
        <v>338</v>
      </c>
      <c r="F68" s="135"/>
      <c r="G68" s="156" t="s">
        <v>480</v>
      </c>
      <c r="H68" s="42" t="s">
        <v>481</v>
      </c>
      <c r="K68" s="138"/>
      <c r="L68" s="139" t="str">
        <f>IFERROR(__xludf.DUMMYFUNCTION("TEXTJOIN("","", TRUE, unique(filter('phase 3 route list'!$S$1:$S$200, 'phase 3 route list'!$D$1:$D$200=$B68)))"),"#N/A")</f>
        <v>#N/A</v>
      </c>
      <c r="M68" s="139" t="str">
        <f>IFERROR(__xludf.DUMMYFUNCTION("average(filter('phase 3 route list'!$J$1:$J$200, 'phase 3 route list'!$D$1:$D$200=$B68))"),"#N/A")</f>
        <v>#N/A</v>
      </c>
      <c r="Q68" s="139" t="str">
        <f>IFERROR(__xludf.DUMMYFUNCTION("TEXTJOIN("","", TRUE, unique(filter('phase 3 route list'!$R$1:$R$200, 'phase 3 route list'!$D$1:$D$200=$B68, 'phase 3 route list'!$O$1:$O$200=""include"")))"),"#N/A")</f>
        <v>#N/A</v>
      </c>
      <c r="U68" s="139" t="str">
        <f>IFERROR(__xludf.DUMMYFUNCTION("TEXTJOIN("","", TRUE, filter('phase 3 route list'!$K$1:$K$200, 'phase 3 route list'!$D$1:$D$200=$B68))"),"#N/A")</f>
        <v>#N/A</v>
      </c>
    </row>
    <row r="69" hidden="1">
      <c r="A69" s="135" t="s">
        <v>464</v>
      </c>
      <c r="B69" s="136" t="s">
        <v>294</v>
      </c>
      <c r="C69" s="136" t="s">
        <v>294</v>
      </c>
      <c r="D69" s="137" t="s">
        <v>295</v>
      </c>
      <c r="E69" s="135" t="s">
        <v>231</v>
      </c>
      <c r="F69" s="135"/>
      <c r="G69" s="95" t="s">
        <v>455</v>
      </c>
      <c r="K69" s="138"/>
      <c r="L69" s="139" t="str">
        <f>IFERROR(__xludf.DUMMYFUNCTION("TEXTJOIN("","", TRUE, unique(filter('phase 3 route list'!$S$1:$S$200, 'phase 3 route list'!$D$1:$D$200=$B69)))"),"45 mins")</f>
        <v>45 mins</v>
      </c>
      <c r="M69" s="139">
        <f>IFERROR(__xludf.DUMMYFUNCTION("average(filter('phase 3 route list'!$J$1:$J$200, 'phase 3 route list'!$D$1:$D$200=$B69))"),24.7544018499642)</f>
        <v>24.75440185</v>
      </c>
      <c r="Q69" s="139" t="str">
        <f>IFERROR(__xludf.DUMMYFUNCTION("TEXTJOIN("","", TRUE, unique(filter('phase 3 route list'!$R$1:$R$200, 'phase 3 route list'!$D$1:$D$200=$B69, 'phase 3 route list'!$O$1:$O$200=""include"")))"),"#N/A")</f>
        <v>#N/A</v>
      </c>
      <c r="U69" s="139" t="str">
        <f>IFERROR(__xludf.DUMMYFUNCTION("TEXTJOIN("","", TRUE, filter('phase 3 route list'!$K$1:$K$200, 'phase 3 route list'!$D$1:$D$200=$B69))"),"5000")</f>
        <v>5000</v>
      </c>
    </row>
    <row r="70" hidden="1">
      <c r="A70" s="135" t="s">
        <v>454</v>
      </c>
      <c r="B70" s="165" t="s">
        <v>22</v>
      </c>
      <c r="C70" s="136" t="s">
        <v>22</v>
      </c>
      <c r="D70" s="149" t="s">
        <v>35</v>
      </c>
      <c r="E70" s="135" t="s">
        <v>34</v>
      </c>
      <c r="F70" s="135"/>
      <c r="G70" s="95" t="s">
        <v>455</v>
      </c>
      <c r="K70" s="138"/>
      <c r="L70" s="139" t="str">
        <f>IFERROR(__xludf.DUMMYFUNCTION("TEXTJOIN("","", TRUE, unique(filter('phase 3 route list'!$S$1:$S$200, 'phase 3 route list'!$D$1:$D$200=$B70)))"),"30-45 mins")</f>
        <v>30-45 mins</v>
      </c>
      <c r="M70" s="140">
        <f>IFERROR(__xludf.DUMMYFUNCTION("average(filter('phase 3 route list'!$J$1:$J$200, 'phase 3 route list'!$D$1:$D$200=$B70))"),21.16473938817357)</f>
        <v>21.16473939</v>
      </c>
      <c r="N70" s="140" t="str">
        <f>IFERROR(__xludf.DUMMYFUNCTION("average(filter('phase 3 route list'!$J$1:$J$200, 'phase 3 route list'!$D$1:$D$200=$B70, 'phase 3 route list'!$O$1:$O$200=""include""))"),"#N/A")</f>
        <v>#N/A</v>
      </c>
      <c r="O70" s="95" t="s">
        <v>517</v>
      </c>
      <c r="P70" s="95"/>
      <c r="Q70" s="139" t="str">
        <f>IFERROR(__xludf.DUMMYFUNCTION("TEXTJOIN("","", TRUE, unique(filter('phase 3 route list'!$Q$1:$Q$200, 'phase 3 route list'!$D$1:$D$200=$B70, 'phase 3 route list'!$O$1:$O$200=""include"")))"),"#N/A")</f>
        <v>#N/A</v>
      </c>
      <c r="R70" s="95"/>
      <c r="S70" s="95" t="s">
        <v>453</v>
      </c>
      <c r="T70" s="95"/>
      <c r="U70" s="139" t="str">
        <f>IFERROR(__xludf.DUMMYFUNCTION("TEXTJOIN("","", TRUE, filter('phase 3 route list'!$K$1:$K$200, 'phase 3 route list'!$D$1:$D$200=$B70))"),"5000,5000")</f>
        <v>5000,5000</v>
      </c>
    </row>
    <row r="71">
      <c r="B71" s="166"/>
      <c r="C71" s="166"/>
      <c r="K71" s="138"/>
    </row>
    <row r="72">
      <c r="B72" s="166"/>
      <c r="C72" s="166"/>
      <c r="K72" s="138"/>
    </row>
    <row r="73">
      <c r="B73" s="166"/>
      <c r="C73" s="166"/>
      <c r="K73" s="138"/>
    </row>
    <row r="74">
      <c r="B74" s="166"/>
      <c r="C74" s="166"/>
      <c r="K74" s="138"/>
    </row>
    <row r="75">
      <c r="B75" s="166"/>
      <c r="C75" s="166"/>
      <c r="K75" s="138"/>
    </row>
    <row r="76">
      <c r="B76" s="166"/>
      <c r="C76" s="166"/>
      <c r="K76" s="138"/>
    </row>
    <row r="77">
      <c r="B77" s="166"/>
      <c r="C77" s="166"/>
      <c r="K77" s="138"/>
    </row>
    <row r="78">
      <c r="B78" s="166"/>
      <c r="C78" s="166"/>
      <c r="K78" s="138"/>
    </row>
    <row r="79">
      <c r="B79" s="166"/>
      <c r="C79" s="166"/>
      <c r="K79" s="138"/>
    </row>
    <row r="80">
      <c r="B80" s="166"/>
      <c r="C80" s="166"/>
      <c r="K80" s="138"/>
    </row>
    <row r="81">
      <c r="B81" s="166"/>
      <c r="C81" s="166"/>
      <c r="K81" s="138"/>
    </row>
    <row r="82">
      <c r="B82" s="166"/>
      <c r="C82" s="166"/>
      <c r="K82" s="138"/>
    </row>
    <row r="83">
      <c r="B83" s="166"/>
      <c r="C83" s="166"/>
      <c r="K83" s="138"/>
    </row>
    <row r="84">
      <c r="B84" s="166"/>
      <c r="C84" s="166"/>
      <c r="K84" s="138"/>
    </row>
    <row r="85">
      <c r="B85" s="166"/>
      <c r="C85" s="166"/>
      <c r="K85" s="138"/>
    </row>
    <row r="86">
      <c r="B86" s="166"/>
      <c r="C86" s="166"/>
      <c r="K86" s="138"/>
    </row>
    <row r="87">
      <c r="B87" s="166"/>
      <c r="C87" s="166"/>
      <c r="K87" s="138"/>
    </row>
    <row r="88">
      <c r="B88" s="166"/>
      <c r="C88" s="166"/>
      <c r="K88" s="138"/>
    </row>
    <row r="89">
      <c r="B89" s="166"/>
      <c r="C89" s="166"/>
      <c r="K89" s="138"/>
    </row>
    <row r="90">
      <c r="B90" s="166"/>
      <c r="C90" s="166"/>
      <c r="K90" s="138"/>
    </row>
    <row r="91">
      <c r="B91" s="166"/>
      <c r="C91" s="166"/>
      <c r="K91" s="138"/>
    </row>
    <row r="92">
      <c r="B92" s="166"/>
      <c r="C92" s="166"/>
      <c r="K92" s="138"/>
    </row>
    <row r="93">
      <c r="B93" s="166"/>
      <c r="C93" s="166"/>
      <c r="K93" s="138"/>
    </row>
    <row r="94">
      <c r="B94" s="166"/>
      <c r="C94" s="166"/>
      <c r="K94" s="138"/>
    </row>
    <row r="95">
      <c r="B95" s="166"/>
      <c r="C95" s="166"/>
      <c r="K95" s="138"/>
    </row>
    <row r="96">
      <c r="B96" s="166"/>
      <c r="C96" s="166"/>
      <c r="K96" s="138"/>
    </row>
    <row r="97">
      <c r="B97" s="166"/>
      <c r="C97" s="166"/>
      <c r="K97" s="138"/>
    </row>
    <row r="98">
      <c r="B98" s="166"/>
      <c r="C98" s="166"/>
      <c r="K98" s="138"/>
    </row>
    <row r="99">
      <c r="B99" s="166"/>
      <c r="C99" s="166"/>
      <c r="K99" s="138"/>
    </row>
    <row r="100">
      <c r="B100" s="166"/>
      <c r="C100" s="166"/>
      <c r="K100" s="138"/>
    </row>
    <row r="101">
      <c r="B101" s="166"/>
      <c r="C101" s="166"/>
      <c r="K101" s="138"/>
    </row>
    <row r="102">
      <c r="B102" s="166"/>
      <c r="C102" s="166"/>
      <c r="K102" s="138"/>
    </row>
    <row r="103">
      <c r="B103" s="166"/>
      <c r="C103" s="166"/>
      <c r="K103" s="138"/>
    </row>
    <row r="104">
      <c r="B104" s="166"/>
      <c r="C104" s="166"/>
      <c r="K104" s="138"/>
    </row>
    <row r="105">
      <c r="B105" s="166"/>
      <c r="C105" s="166"/>
      <c r="K105" s="138"/>
    </row>
    <row r="106">
      <c r="B106" s="166"/>
      <c r="C106" s="166"/>
      <c r="K106" s="138"/>
    </row>
    <row r="107">
      <c r="B107" s="166"/>
      <c r="C107" s="166"/>
      <c r="K107" s="138"/>
    </row>
    <row r="108">
      <c r="B108" s="166"/>
      <c r="C108" s="166"/>
      <c r="K108" s="138"/>
    </row>
    <row r="109">
      <c r="B109" s="166"/>
      <c r="C109" s="166"/>
      <c r="K109" s="138"/>
    </row>
    <row r="110">
      <c r="B110" s="166"/>
      <c r="C110" s="166"/>
      <c r="K110" s="138"/>
    </row>
    <row r="111">
      <c r="B111" s="166"/>
      <c r="C111" s="166"/>
      <c r="K111" s="138"/>
    </row>
    <row r="112">
      <c r="B112" s="166"/>
      <c r="C112" s="166"/>
      <c r="K112" s="138"/>
    </row>
    <row r="113">
      <c r="B113" s="166"/>
      <c r="C113" s="166"/>
      <c r="K113" s="138"/>
    </row>
    <row r="114">
      <c r="B114" s="166"/>
      <c r="C114" s="166"/>
      <c r="K114" s="138"/>
    </row>
    <row r="115">
      <c r="B115" s="166"/>
      <c r="C115" s="166"/>
      <c r="K115" s="138"/>
    </row>
    <row r="116">
      <c r="B116" s="166"/>
      <c r="C116" s="166"/>
      <c r="K116" s="138"/>
    </row>
    <row r="117">
      <c r="B117" s="166"/>
      <c r="C117" s="166"/>
      <c r="K117" s="138"/>
    </row>
    <row r="118">
      <c r="B118" s="166"/>
      <c r="C118" s="166"/>
      <c r="K118" s="138"/>
    </row>
    <row r="119">
      <c r="B119" s="166"/>
      <c r="C119" s="166"/>
      <c r="K119" s="138"/>
    </row>
    <row r="120">
      <c r="B120" s="166"/>
      <c r="C120" s="166"/>
      <c r="K120" s="138"/>
    </row>
    <row r="121">
      <c r="B121" s="166"/>
      <c r="C121" s="166"/>
      <c r="K121" s="138"/>
    </row>
    <row r="122">
      <c r="B122" s="166"/>
      <c r="C122" s="166"/>
      <c r="K122" s="138"/>
    </row>
    <row r="123">
      <c r="B123" s="166"/>
      <c r="C123" s="166"/>
      <c r="K123" s="138"/>
    </row>
    <row r="124">
      <c r="B124" s="166"/>
      <c r="C124" s="166"/>
      <c r="K124" s="138"/>
    </row>
    <row r="125">
      <c r="B125" s="166"/>
      <c r="C125" s="166"/>
      <c r="K125" s="138"/>
    </row>
    <row r="126">
      <c r="B126" s="166"/>
      <c r="C126" s="166"/>
      <c r="K126" s="138"/>
    </row>
    <row r="127">
      <c r="B127" s="166"/>
      <c r="C127" s="166"/>
      <c r="K127" s="138"/>
    </row>
    <row r="128">
      <c r="B128" s="166"/>
      <c r="C128" s="166"/>
      <c r="K128" s="138"/>
    </row>
    <row r="129">
      <c r="B129" s="166"/>
      <c r="C129" s="166"/>
      <c r="K129" s="138"/>
    </row>
    <row r="130">
      <c r="B130" s="166"/>
      <c r="C130" s="166"/>
      <c r="K130" s="138"/>
    </row>
    <row r="131">
      <c r="B131" s="166"/>
      <c r="C131" s="166"/>
      <c r="K131" s="138"/>
    </row>
    <row r="132">
      <c r="B132" s="166"/>
      <c r="C132" s="166"/>
      <c r="K132" s="138"/>
    </row>
    <row r="133">
      <c r="B133" s="166"/>
      <c r="C133" s="166"/>
      <c r="K133" s="138"/>
    </row>
    <row r="134">
      <c r="B134" s="166"/>
      <c r="C134" s="166"/>
      <c r="K134" s="138"/>
    </row>
    <row r="135">
      <c r="B135" s="166"/>
      <c r="C135" s="166"/>
      <c r="K135" s="138"/>
    </row>
    <row r="136">
      <c r="B136" s="166"/>
      <c r="C136" s="166"/>
      <c r="K136" s="138"/>
    </row>
    <row r="137">
      <c r="B137" s="166"/>
      <c r="C137" s="166"/>
      <c r="K137" s="138"/>
    </row>
    <row r="138">
      <c r="B138" s="166"/>
      <c r="C138" s="166"/>
      <c r="K138" s="138"/>
    </row>
    <row r="139">
      <c r="B139" s="166"/>
      <c r="C139" s="166"/>
      <c r="K139" s="138"/>
    </row>
    <row r="140">
      <c r="B140" s="166"/>
      <c r="C140" s="166"/>
      <c r="K140" s="138"/>
    </row>
    <row r="141">
      <c r="B141" s="166"/>
      <c r="C141" s="166"/>
      <c r="K141" s="138"/>
    </row>
    <row r="142">
      <c r="B142" s="166"/>
      <c r="C142" s="166"/>
      <c r="K142" s="138"/>
    </row>
    <row r="143">
      <c r="B143" s="166"/>
      <c r="C143" s="166"/>
      <c r="K143" s="138"/>
    </row>
    <row r="144">
      <c r="B144" s="166"/>
      <c r="C144" s="166"/>
      <c r="K144" s="138"/>
    </row>
    <row r="145">
      <c r="B145" s="166"/>
      <c r="C145" s="166"/>
      <c r="K145" s="138"/>
    </row>
    <row r="146">
      <c r="B146" s="166"/>
      <c r="C146" s="166"/>
      <c r="K146" s="138"/>
    </row>
    <row r="147">
      <c r="B147" s="166"/>
      <c r="C147" s="166"/>
      <c r="K147" s="138"/>
    </row>
    <row r="148">
      <c r="B148" s="166"/>
      <c r="C148" s="166"/>
      <c r="K148" s="138"/>
    </row>
    <row r="149">
      <c r="B149" s="166"/>
      <c r="C149" s="166"/>
      <c r="K149" s="138"/>
    </row>
    <row r="150">
      <c r="B150" s="166"/>
      <c r="C150" s="166"/>
      <c r="K150" s="138"/>
    </row>
    <row r="151">
      <c r="B151" s="166"/>
      <c r="C151" s="166"/>
      <c r="K151" s="138"/>
    </row>
    <row r="152">
      <c r="B152" s="166"/>
      <c r="C152" s="166"/>
      <c r="K152" s="138"/>
    </row>
    <row r="153">
      <c r="B153" s="166"/>
      <c r="C153" s="166"/>
      <c r="K153" s="138"/>
    </row>
    <row r="154">
      <c r="B154" s="166"/>
      <c r="C154" s="166"/>
      <c r="K154" s="138"/>
    </row>
    <row r="155">
      <c r="B155" s="166"/>
      <c r="C155" s="166"/>
      <c r="K155" s="138"/>
    </row>
    <row r="156">
      <c r="B156" s="166"/>
      <c r="C156" s="166"/>
      <c r="K156" s="138"/>
    </row>
    <row r="157">
      <c r="B157" s="166"/>
      <c r="C157" s="166"/>
      <c r="K157" s="138"/>
    </row>
    <row r="158">
      <c r="B158" s="166"/>
      <c r="C158" s="166"/>
      <c r="K158" s="138"/>
    </row>
    <row r="159">
      <c r="B159" s="166"/>
      <c r="C159" s="166"/>
      <c r="K159" s="138"/>
    </row>
    <row r="160">
      <c r="B160" s="166"/>
      <c r="C160" s="166"/>
      <c r="K160" s="138"/>
    </row>
    <row r="161">
      <c r="B161" s="166"/>
      <c r="C161" s="166"/>
      <c r="K161" s="138"/>
    </row>
    <row r="162">
      <c r="B162" s="166"/>
      <c r="C162" s="166"/>
      <c r="K162" s="138"/>
    </row>
    <row r="163">
      <c r="B163" s="166"/>
      <c r="C163" s="166"/>
      <c r="K163" s="138"/>
    </row>
    <row r="164">
      <c r="B164" s="166"/>
      <c r="C164" s="166"/>
      <c r="K164" s="138"/>
    </row>
    <row r="165">
      <c r="B165" s="166"/>
      <c r="C165" s="166"/>
      <c r="K165" s="138"/>
    </row>
    <row r="166">
      <c r="B166" s="166"/>
      <c r="C166" s="166"/>
      <c r="K166" s="138"/>
    </row>
    <row r="167">
      <c r="B167" s="166"/>
      <c r="C167" s="166"/>
      <c r="K167" s="138"/>
    </row>
    <row r="168">
      <c r="B168" s="166"/>
      <c r="C168" s="166"/>
      <c r="K168" s="138"/>
    </row>
    <row r="169">
      <c r="B169" s="166"/>
      <c r="C169" s="166"/>
      <c r="K169" s="138"/>
    </row>
    <row r="170">
      <c r="B170" s="166"/>
      <c r="C170" s="166"/>
      <c r="K170" s="138"/>
    </row>
    <row r="171">
      <c r="B171" s="166"/>
      <c r="C171" s="166"/>
      <c r="K171" s="138"/>
    </row>
    <row r="172">
      <c r="B172" s="166"/>
      <c r="C172" s="166"/>
      <c r="K172" s="138"/>
    </row>
    <row r="173">
      <c r="B173" s="166"/>
      <c r="C173" s="166"/>
      <c r="K173" s="138"/>
    </row>
    <row r="174">
      <c r="B174" s="166"/>
      <c r="C174" s="166"/>
      <c r="K174" s="138"/>
    </row>
    <row r="175">
      <c r="B175" s="166"/>
      <c r="C175" s="166"/>
      <c r="K175" s="138"/>
    </row>
    <row r="176">
      <c r="B176" s="166"/>
      <c r="C176" s="166"/>
      <c r="K176" s="138"/>
    </row>
    <row r="177">
      <c r="B177" s="166"/>
      <c r="C177" s="166"/>
      <c r="K177" s="138"/>
    </row>
    <row r="178">
      <c r="B178" s="166"/>
      <c r="C178" s="166"/>
      <c r="K178" s="138"/>
    </row>
    <row r="179">
      <c r="B179" s="166"/>
      <c r="C179" s="166"/>
      <c r="K179" s="138"/>
    </row>
    <row r="180">
      <c r="B180" s="166"/>
      <c r="C180" s="166"/>
      <c r="K180" s="138"/>
    </row>
    <row r="181">
      <c r="B181" s="166"/>
      <c r="C181" s="166"/>
      <c r="K181" s="138"/>
    </row>
    <row r="182">
      <c r="B182" s="166"/>
      <c r="C182" s="166"/>
      <c r="K182" s="138"/>
    </row>
    <row r="183">
      <c r="B183" s="166"/>
      <c r="C183" s="166"/>
      <c r="K183" s="138"/>
    </row>
    <row r="184">
      <c r="B184" s="166"/>
      <c r="C184" s="166"/>
      <c r="K184" s="138"/>
    </row>
    <row r="185">
      <c r="B185" s="166"/>
      <c r="C185" s="166"/>
      <c r="K185" s="138"/>
    </row>
    <row r="186">
      <c r="B186" s="166"/>
      <c r="C186" s="166"/>
      <c r="K186" s="138"/>
    </row>
    <row r="187">
      <c r="B187" s="166"/>
      <c r="C187" s="166"/>
      <c r="K187" s="138"/>
    </row>
    <row r="188">
      <c r="B188" s="166"/>
      <c r="C188" s="166"/>
      <c r="K188" s="138"/>
    </row>
    <row r="189">
      <c r="B189" s="166"/>
      <c r="C189" s="166"/>
      <c r="K189" s="138"/>
    </row>
    <row r="190">
      <c r="B190" s="166"/>
      <c r="C190" s="166"/>
      <c r="K190" s="138"/>
    </row>
    <row r="191">
      <c r="B191" s="166"/>
      <c r="C191" s="166"/>
      <c r="K191" s="138"/>
    </row>
    <row r="192">
      <c r="B192" s="166"/>
      <c r="C192" s="166"/>
      <c r="K192" s="138"/>
    </row>
    <row r="193">
      <c r="B193" s="166"/>
      <c r="C193" s="166"/>
      <c r="K193" s="138"/>
    </row>
    <row r="194">
      <c r="B194" s="166"/>
      <c r="C194" s="166"/>
      <c r="K194" s="138"/>
    </row>
    <row r="195">
      <c r="B195" s="166"/>
      <c r="C195" s="166"/>
      <c r="K195" s="138"/>
    </row>
    <row r="196">
      <c r="B196" s="166"/>
      <c r="C196" s="166"/>
      <c r="K196" s="138"/>
    </row>
    <row r="197">
      <c r="B197" s="166"/>
      <c r="C197" s="166"/>
      <c r="K197" s="138"/>
    </row>
    <row r="198">
      <c r="B198" s="166"/>
      <c r="C198" s="166"/>
      <c r="K198" s="138"/>
    </row>
    <row r="199">
      <c r="B199" s="166"/>
      <c r="C199" s="166"/>
      <c r="K199" s="138"/>
    </row>
    <row r="200">
      <c r="B200" s="166"/>
      <c r="C200" s="166"/>
      <c r="K200" s="138"/>
    </row>
    <row r="201">
      <c r="B201" s="166"/>
      <c r="C201" s="166"/>
      <c r="K201" s="138"/>
    </row>
    <row r="202">
      <c r="B202" s="166"/>
      <c r="C202" s="166"/>
      <c r="K202" s="138"/>
    </row>
    <row r="203">
      <c r="B203" s="166"/>
      <c r="C203" s="166"/>
      <c r="K203" s="138"/>
    </row>
    <row r="204">
      <c r="B204" s="166"/>
      <c r="C204" s="166"/>
      <c r="K204" s="138"/>
    </row>
    <row r="205">
      <c r="B205" s="166"/>
      <c r="C205" s="166"/>
      <c r="K205" s="138"/>
    </row>
    <row r="206">
      <c r="B206" s="166"/>
      <c r="C206" s="166"/>
      <c r="K206" s="138"/>
    </row>
    <row r="207">
      <c r="B207" s="166"/>
      <c r="C207" s="166"/>
      <c r="K207" s="138"/>
    </row>
    <row r="208">
      <c r="B208" s="166"/>
      <c r="C208" s="166"/>
      <c r="K208" s="138"/>
    </row>
    <row r="209">
      <c r="B209" s="166"/>
      <c r="C209" s="166"/>
      <c r="K209" s="138"/>
    </row>
    <row r="210">
      <c r="B210" s="166"/>
      <c r="C210" s="166"/>
      <c r="K210" s="138"/>
    </row>
    <row r="211">
      <c r="B211" s="166"/>
      <c r="C211" s="166"/>
      <c r="K211" s="138"/>
    </row>
    <row r="212">
      <c r="B212" s="166"/>
      <c r="C212" s="166"/>
      <c r="K212" s="138"/>
    </row>
    <row r="213">
      <c r="B213" s="166"/>
      <c r="C213" s="166"/>
      <c r="K213" s="138"/>
    </row>
    <row r="214">
      <c r="B214" s="166"/>
      <c r="C214" s="166"/>
      <c r="K214" s="138"/>
    </row>
    <row r="215">
      <c r="B215" s="166"/>
      <c r="C215" s="166"/>
      <c r="K215" s="138"/>
    </row>
    <row r="216">
      <c r="B216" s="166"/>
      <c r="C216" s="166"/>
      <c r="K216" s="138"/>
    </row>
    <row r="217">
      <c r="B217" s="166"/>
      <c r="C217" s="166"/>
      <c r="K217" s="138"/>
    </row>
    <row r="218">
      <c r="B218" s="166"/>
      <c r="C218" s="166"/>
      <c r="K218" s="138"/>
    </row>
    <row r="219">
      <c r="B219" s="166"/>
      <c r="C219" s="166"/>
      <c r="K219" s="138"/>
    </row>
    <row r="220">
      <c r="B220" s="166"/>
      <c r="C220" s="166"/>
      <c r="K220" s="138"/>
    </row>
    <row r="221">
      <c r="B221" s="166"/>
      <c r="C221" s="166"/>
      <c r="K221" s="138"/>
    </row>
    <row r="222">
      <c r="B222" s="166"/>
      <c r="C222" s="166"/>
      <c r="K222" s="138"/>
    </row>
    <row r="223">
      <c r="B223" s="166"/>
      <c r="C223" s="166"/>
      <c r="K223" s="138"/>
    </row>
    <row r="224">
      <c r="B224" s="166"/>
      <c r="C224" s="166"/>
      <c r="K224" s="138"/>
    </row>
    <row r="225">
      <c r="B225" s="166"/>
      <c r="C225" s="166"/>
      <c r="K225" s="138"/>
    </row>
    <row r="226">
      <c r="B226" s="166"/>
      <c r="C226" s="166"/>
      <c r="K226" s="138"/>
    </row>
    <row r="227">
      <c r="B227" s="166"/>
      <c r="C227" s="166"/>
      <c r="K227" s="138"/>
    </row>
    <row r="228">
      <c r="B228" s="166"/>
      <c r="C228" s="166"/>
      <c r="K228" s="138"/>
    </row>
    <row r="229">
      <c r="B229" s="166"/>
      <c r="C229" s="166"/>
      <c r="K229" s="138"/>
    </row>
    <row r="230">
      <c r="B230" s="166"/>
      <c r="C230" s="166"/>
      <c r="K230" s="138"/>
    </row>
    <row r="231">
      <c r="B231" s="166"/>
      <c r="C231" s="166"/>
      <c r="K231" s="138"/>
    </row>
    <row r="232">
      <c r="B232" s="166"/>
      <c r="C232" s="166"/>
      <c r="K232" s="138"/>
    </row>
    <row r="233">
      <c r="B233" s="166"/>
      <c r="C233" s="166"/>
      <c r="K233" s="138"/>
    </row>
    <row r="234">
      <c r="B234" s="166"/>
      <c r="C234" s="166"/>
      <c r="K234" s="138"/>
    </row>
    <row r="235">
      <c r="B235" s="166"/>
      <c r="C235" s="166"/>
      <c r="K235" s="138"/>
    </row>
    <row r="236">
      <c r="B236" s="166"/>
      <c r="C236" s="166"/>
      <c r="K236" s="138"/>
    </row>
    <row r="237">
      <c r="B237" s="166"/>
      <c r="C237" s="166"/>
      <c r="K237" s="138"/>
    </row>
    <row r="238">
      <c r="B238" s="166"/>
      <c r="C238" s="166"/>
      <c r="K238" s="138"/>
    </row>
    <row r="239">
      <c r="B239" s="166"/>
      <c r="C239" s="166"/>
      <c r="K239" s="138"/>
    </row>
    <row r="240">
      <c r="B240" s="166"/>
      <c r="C240" s="166"/>
      <c r="K240" s="138"/>
    </row>
    <row r="241">
      <c r="B241" s="166"/>
      <c r="C241" s="166"/>
      <c r="K241" s="138"/>
    </row>
    <row r="242">
      <c r="B242" s="166"/>
      <c r="C242" s="166"/>
      <c r="K242" s="138"/>
    </row>
    <row r="243">
      <c r="B243" s="166"/>
      <c r="C243" s="166"/>
      <c r="K243" s="138"/>
    </row>
    <row r="244">
      <c r="B244" s="166"/>
      <c r="C244" s="166"/>
      <c r="K244" s="138"/>
    </row>
    <row r="245">
      <c r="B245" s="166"/>
      <c r="C245" s="166"/>
      <c r="K245" s="138"/>
    </row>
    <row r="246">
      <c r="B246" s="166"/>
      <c r="C246" s="166"/>
      <c r="K246" s="138"/>
    </row>
    <row r="247">
      <c r="B247" s="166"/>
      <c r="C247" s="166"/>
      <c r="K247" s="138"/>
    </row>
    <row r="248">
      <c r="B248" s="166"/>
      <c r="C248" s="166"/>
      <c r="K248" s="138"/>
    </row>
    <row r="249">
      <c r="B249" s="166"/>
      <c r="C249" s="166"/>
      <c r="K249" s="138"/>
    </row>
    <row r="250">
      <c r="B250" s="166"/>
      <c r="C250" s="166"/>
      <c r="K250" s="138"/>
    </row>
    <row r="251">
      <c r="B251" s="166"/>
      <c r="C251" s="166"/>
      <c r="K251" s="138"/>
    </row>
    <row r="252">
      <c r="B252" s="166"/>
      <c r="C252" s="166"/>
      <c r="K252" s="138"/>
    </row>
    <row r="253">
      <c r="B253" s="166"/>
      <c r="C253" s="166"/>
      <c r="K253" s="138"/>
    </row>
    <row r="254">
      <c r="B254" s="166"/>
      <c r="C254" s="166"/>
      <c r="K254" s="138"/>
    </row>
    <row r="255">
      <c r="B255" s="166"/>
      <c r="C255" s="166"/>
      <c r="K255" s="138"/>
    </row>
    <row r="256">
      <c r="B256" s="166"/>
      <c r="C256" s="166"/>
      <c r="K256" s="138"/>
    </row>
    <row r="257">
      <c r="B257" s="166"/>
      <c r="C257" s="166"/>
      <c r="K257" s="138"/>
    </row>
    <row r="258">
      <c r="B258" s="166"/>
      <c r="C258" s="166"/>
      <c r="K258" s="138"/>
    </row>
    <row r="259">
      <c r="B259" s="166"/>
      <c r="C259" s="166"/>
      <c r="K259" s="138"/>
    </row>
    <row r="260">
      <c r="B260" s="166"/>
      <c r="C260" s="166"/>
      <c r="K260" s="138"/>
    </row>
    <row r="261">
      <c r="B261" s="166"/>
      <c r="C261" s="166"/>
      <c r="K261" s="138"/>
    </row>
    <row r="262">
      <c r="B262" s="166"/>
      <c r="C262" s="166"/>
      <c r="K262" s="138"/>
    </row>
    <row r="263">
      <c r="B263" s="166"/>
      <c r="C263" s="166"/>
      <c r="K263" s="138"/>
    </row>
    <row r="264">
      <c r="B264" s="166"/>
      <c r="C264" s="166"/>
      <c r="K264" s="138"/>
    </row>
    <row r="265">
      <c r="B265" s="166"/>
      <c r="C265" s="166"/>
      <c r="K265" s="138"/>
    </row>
    <row r="266">
      <c r="B266" s="166"/>
      <c r="C266" s="166"/>
      <c r="K266" s="138"/>
    </row>
    <row r="267">
      <c r="B267" s="166"/>
      <c r="C267" s="166"/>
      <c r="K267" s="138"/>
    </row>
    <row r="268">
      <c r="B268" s="166"/>
      <c r="C268" s="166"/>
      <c r="K268" s="138"/>
    </row>
    <row r="269">
      <c r="B269" s="166"/>
      <c r="C269" s="166"/>
      <c r="K269" s="138"/>
    </row>
    <row r="270">
      <c r="B270" s="166"/>
      <c r="C270" s="166"/>
      <c r="K270" s="138"/>
    </row>
    <row r="271">
      <c r="B271" s="166"/>
      <c r="C271" s="166"/>
      <c r="K271" s="138"/>
    </row>
    <row r="272">
      <c r="B272" s="166"/>
      <c r="C272" s="166"/>
      <c r="K272" s="138"/>
    </row>
    <row r="273">
      <c r="B273" s="166"/>
      <c r="C273" s="166"/>
      <c r="K273" s="138"/>
    </row>
    <row r="274">
      <c r="B274" s="166"/>
      <c r="C274" s="166"/>
      <c r="K274" s="138"/>
    </row>
    <row r="275">
      <c r="B275" s="166"/>
      <c r="C275" s="166"/>
      <c r="K275" s="138"/>
    </row>
    <row r="276">
      <c r="B276" s="166"/>
      <c r="C276" s="166"/>
      <c r="K276" s="138"/>
    </row>
    <row r="277">
      <c r="B277" s="166"/>
      <c r="C277" s="166"/>
      <c r="K277" s="138"/>
    </row>
    <row r="278">
      <c r="B278" s="166"/>
      <c r="C278" s="166"/>
      <c r="K278" s="138"/>
    </row>
    <row r="279">
      <c r="B279" s="166"/>
      <c r="C279" s="166"/>
      <c r="K279" s="138"/>
    </row>
    <row r="280">
      <c r="B280" s="166"/>
      <c r="C280" s="166"/>
      <c r="K280" s="138"/>
    </row>
    <row r="281">
      <c r="B281" s="166"/>
      <c r="C281" s="166"/>
      <c r="K281" s="138"/>
    </row>
    <row r="282">
      <c r="B282" s="166"/>
      <c r="C282" s="166"/>
      <c r="K282" s="138"/>
    </row>
    <row r="283">
      <c r="B283" s="166"/>
      <c r="C283" s="166"/>
      <c r="K283" s="138"/>
    </row>
    <row r="284">
      <c r="B284" s="166"/>
      <c r="C284" s="166"/>
      <c r="K284" s="138"/>
    </row>
    <row r="285">
      <c r="B285" s="166"/>
      <c r="C285" s="166"/>
      <c r="K285" s="138"/>
    </row>
    <row r="286">
      <c r="B286" s="166"/>
      <c r="C286" s="166"/>
      <c r="K286" s="138"/>
    </row>
    <row r="287">
      <c r="B287" s="166"/>
      <c r="C287" s="166"/>
      <c r="K287" s="138"/>
    </row>
    <row r="288">
      <c r="B288" s="166"/>
      <c r="C288" s="166"/>
      <c r="K288" s="138"/>
    </row>
    <row r="289">
      <c r="B289" s="166"/>
      <c r="C289" s="166"/>
      <c r="K289" s="138"/>
    </row>
    <row r="290">
      <c r="B290" s="166"/>
      <c r="C290" s="166"/>
      <c r="K290" s="138"/>
    </row>
    <row r="291">
      <c r="B291" s="166"/>
      <c r="C291" s="166"/>
      <c r="K291" s="138"/>
    </row>
    <row r="292">
      <c r="B292" s="166"/>
      <c r="C292" s="166"/>
      <c r="K292" s="138"/>
    </row>
    <row r="293">
      <c r="B293" s="166"/>
      <c r="C293" s="166"/>
      <c r="K293" s="138"/>
    </row>
    <row r="294">
      <c r="B294" s="166"/>
      <c r="C294" s="166"/>
      <c r="K294" s="138"/>
    </row>
    <row r="295">
      <c r="B295" s="166"/>
      <c r="C295" s="166"/>
      <c r="K295" s="138"/>
    </row>
    <row r="296">
      <c r="B296" s="166"/>
      <c r="C296" s="166"/>
      <c r="K296" s="138"/>
    </row>
    <row r="297">
      <c r="B297" s="166"/>
      <c r="C297" s="166"/>
      <c r="K297" s="138"/>
    </row>
    <row r="298">
      <c r="B298" s="166"/>
      <c r="C298" s="166"/>
      <c r="K298" s="138"/>
    </row>
    <row r="299">
      <c r="B299" s="166"/>
      <c r="C299" s="166"/>
      <c r="K299" s="138"/>
    </row>
    <row r="300">
      <c r="B300" s="166"/>
      <c r="C300" s="166"/>
      <c r="K300" s="138"/>
    </row>
    <row r="301">
      <c r="B301" s="166"/>
      <c r="C301" s="166"/>
      <c r="K301" s="138"/>
    </row>
    <row r="302">
      <c r="B302" s="166"/>
      <c r="C302" s="166"/>
      <c r="K302" s="138"/>
    </row>
    <row r="303">
      <c r="B303" s="166"/>
      <c r="C303" s="166"/>
      <c r="K303" s="138"/>
    </row>
    <row r="304">
      <c r="B304" s="166"/>
      <c r="C304" s="166"/>
      <c r="K304" s="138"/>
    </row>
    <row r="305">
      <c r="B305" s="166"/>
      <c r="C305" s="166"/>
      <c r="K305" s="138"/>
    </row>
    <row r="306">
      <c r="B306" s="166"/>
      <c r="C306" s="166"/>
      <c r="K306" s="138"/>
    </row>
    <row r="307">
      <c r="B307" s="166"/>
      <c r="C307" s="166"/>
      <c r="K307" s="138"/>
    </row>
    <row r="308">
      <c r="B308" s="166"/>
      <c r="C308" s="166"/>
      <c r="K308" s="138"/>
    </row>
    <row r="309">
      <c r="B309" s="166"/>
      <c r="C309" s="166"/>
      <c r="K309" s="138"/>
    </row>
    <row r="310">
      <c r="B310" s="166"/>
      <c r="C310" s="166"/>
      <c r="K310" s="138"/>
    </row>
    <row r="311">
      <c r="B311" s="166"/>
      <c r="C311" s="166"/>
      <c r="K311" s="138"/>
    </row>
    <row r="312">
      <c r="B312" s="166"/>
      <c r="C312" s="166"/>
      <c r="K312" s="138"/>
    </row>
    <row r="313">
      <c r="B313" s="166"/>
      <c r="C313" s="166"/>
      <c r="K313" s="138"/>
    </row>
    <row r="314">
      <c r="B314" s="166"/>
      <c r="C314" s="166"/>
      <c r="K314" s="138"/>
    </row>
    <row r="315">
      <c r="B315" s="166"/>
      <c r="C315" s="166"/>
      <c r="K315" s="138"/>
    </row>
    <row r="316">
      <c r="B316" s="166"/>
      <c r="C316" s="166"/>
      <c r="K316" s="138"/>
    </row>
    <row r="317">
      <c r="B317" s="166"/>
      <c r="C317" s="166"/>
      <c r="K317" s="138"/>
    </row>
    <row r="318">
      <c r="B318" s="166"/>
      <c r="C318" s="166"/>
      <c r="K318" s="138"/>
    </row>
    <row r="319">
      <c r="B319" s="166"/>
      <c r="C319" s="166"/>
      <c r="K319" s="138"/>
    </row>
    <row r="320">
      <c r="B320" s="166"/>
      <c r="C320" s="166"/>
      <c r="K320" s="138"/>
    </row>
    <row r="321">
      <c r="B321" s="166"/>
      <c r="C321" s="166"/>
      <c r="K321" s="138"/>
    </row>
    <row r="322">
      <c r="B322" s="166"/>
      <c r="C322" s="166"/>
      <c r="K322" s="138"/>
    </row>
    <row r="323">
      <c r="B323" s="166"/>
      <c r="C323" s="166"/>
      <c r="K323" s="138"/>
    </row>
    <row r="324">
      <c r="B324" s="166"/>
      <c r="C324" s="166"/>
      <c r="K324" s="138"/>
    </row>
    <row r="325">
      <c r="B325" s="166"/>
      <c r="C325" s="166"/>
      <c r="K325" s="138"/>
    </row>
    <row r="326">
      <c r="B326" s="166"/>
      <c r="C326" s="166"/>
      <c r="K326" s="138"/>
    </row>
    <row r="327">
      <c r="B327" s="166"/>
      <c r="C327" s="166"/>
      <c r="K327" s="138"/>
    </row>
    <row r="328">
      <c r="B328" s="166"/>
      <c r="C328" s="166"/>
      <c r="K328" s="138"/>
    </row>
    <row r="329">
      <c r="B329" s="166"/>
      <c r="C329" s="166"/>
      <c r="K329" s="138"/>
    </row>
    <row r="330">
      <c r="B330" s="166"/>
      <c r="C330" s="166"/>
      <c r="K330" s="138"/>
    </row>
    <row r="331">
      <c r="B331" s="166"/>
      <c r="C331" s="166"/>
      <c r="K331" s="138"/>
    </row>
    <row r="332">
      <c r="B332" s="166"/>
      <c r="C332" s="166"/>
      <c r="K332" s="138"/>
    </row>
    <row r="333">
      <c r="B333" s="166"/>
      <c r="C333" s="166"/>
      <c r="K333" s="138"/>
    </row>
    <row r="334">
      <c r="B334" s="166"/>
      <c r="C334" s="166"/>
      <c r="K334" s="138"/>
    </row>
    <row r="335">
      <c r="B335" s="166"/>
      <c r="C335" s="166"/>
      <c r="K335" s="138"/>
    </row>
    <row r="336">
      <c r="B336" s="166"/>
      <c r="C336" s="166"/>
      <c r="K336" s="138"/>
    </row>
    <row r="337">
      <c r="B337" s="166"/>
      <c r="C337" s="166"/>
      <c r="K337" s="138"/>
    </row>
    <row r="338">
      <c r="B338" s="166"/>
      <c r="C338" s="166"/>
      <c r="K338" s="138"/>
    </row>
    <row r="339">
      <c r="B339" s="166"/>
      <c r="C339" s="166"/>
      <c r="K339" s="138"/>
    </row>
    <row r="340">
      <c r="B340" s="166"/>
      <c r="C340" s="166"/>
      <c r="K340" s="138"/>
    </row>
    <row r="341">
      <c r="B341" s="166"/>
      <c r="C341" s="166"/>
      <c r="K341" s="138"/>
    </row>
    <row r="342">
      <c r="B342" s="166"/>
      <c r="C342" s="166"/>
      <c r="K342" s="138"/>
    </row>
    <row r="343">
      <c r="B343" s="166"/>
      <c r="C343" s="166"/>
      <c r="K343" s="138"/>
    </row>
    <row r="344">
      <c r="B344" s="166"/>
      <c r="C344" s="166"/>
      <c r="K344" s="138"/>
    </row>
    <row r="345">
      <c r="B345" s="166"/>
      <c r="C345" s="166"/>
      <c r="K345" s="138"/>
    </row>
    <row r="346">
      <c r="B346" s="166"/>
      <c r="C346" s="166"/>
      <c r="K346" s="138"/>
    </row>
    <row r="347">
      <c r="B347" s="166"/>
      <c r="C347" s="166"/>
      <c r="K347" s="138"/>
    </row>
    <row r="348">
      <c r="B348" s="166"/>
      <c r="C348" s="166"/>
      <c r="K348" s="138"/>
    </row>
    <row r="349">
      <c r="B349" s="166"/>
      <c r="C349" s="166"/>
      <c r="K349" s="138"/>
    </row>
    <row r="350">
      <c r="B350" s="166"/>
      <c r="C350" s="166"/>
      <c r="K350" s="138"/>
    </row>
    <row r="351">
      <c r="B351" s="166"/>
      <c r="C351" s="166"/>
      <c r="K351" s="138"/>
    </row>
    <row r="352">
      <c r="B352" s="166"/>
      <c r="C352" s="166"/>
      <c r="K352" s="138"/>
    </row>
    <row r="353">
      <c r="B353" s="166"/>
      <c r="C353" s="166"/>
      <c r="K353" s="138"/>
    </row>
    <row r="354">
      <c r="B354" s="166"/>
      <c r="C354" s="166"/>
      <c r="K354" s="138"/>
    </row>
    <row r="355">
      <c r="B355" s="166"/>
      <c r="C355" s="166"/>
      <c r="K355" s="138"/>
    </row>
    <row r="356">
      <c r="B356" s="166"/>
      <c r="C356" s="166"/>
      <c r="K356" s="138"/>
    </row>
    <row r="357">
      <c r="B357" s="166"/>
      <c r="C357" s="166"/>
      <c r="K357" s="138"/>
    </row>
    <row r="358">
      <c r="B358" s="166"/>
      <c r="C358" s="166"/>
      <c r="K358" s="138"/>
    </row>
    <row r="359">
      <c r="B359" s="166"/>
      <c r="C359" s="166"/>
      <c r="K359" s="138"/>
    </row>
    <row r="360">
      <c r="B360" s="166"/>
      <c r="C360" s="166"/>
      <c r="K360" s="138"/>
    </row>
    <row r="361">
      <c r="B361" s="166"/>
      <c r="C361" s="166"/>
      <c r="K361" s="138"/>
    </row>
    <row r="362">
      <c r="B362" s="166"/>
      <c r="C362" s="166"/>
      <c r="K362" s="138"/>
    </row>
    <row r="363">
      <c r="B363" s="166"/>
      <c r="C363" s="166"/>
      <c r="K363" s="138"/>
    </row>
    <row r="364">
      <c r="B364" s="166"/>
      <c r="C364" s="166"/>
      <c r="K364" s="138"/>
    </row>
    <row r="365">
      <c r="B365" s="166"/>
      <c r="C365" s="166"/>
      <c r="K365" s="138"/>
    </row>
    <row r="366">
      <c r="B366" s="166"/>
      <c r="C366" s="166"/>
      <c r="K366" s="138"/>
    </row>
    <row r="367">
      <c r="B367" s="166"/>
      <c r="C367" s="166"/>
      <c r="K367" s="138"/>
    </row>
    <row r="368">
      <c r="B368" s="166"/>
      <c r="C368" s="166"/>
      <c r="K368" s="138"/>
    </row>
    <row r="369">
      <c r="B369" s="166"/>
      <c r="C369" s="166"/>
      <c r="K369" s="138"/>
    </row>
    <row r="370">
      <c r="B370" s="166"/>
      <c r="C370" s="166"/>
      <c r="K370" s="138"/>
    </row>
    <row r="371">
      <c r="B371" s="166"/>
      <c r="C371" s="166"/>
      <c r="K371" s="138"/>
    </row>
    <row r="372">
      <c r="B372" s="166"/>
      <c r="C372" s="166"/>
      <c r="K372" s="138"/>
    </row>
    <row r="373">
      <c r="B373" s="166"/>
      <c r="C373" s="166"/>
      <c r="K373" s="138"/>
    </row>
    <row r="374">
      <c r="B374" s="166"/>
      <c r="C374" s="166"/>
      <c r="K374" s="138"/>
    </row>
    <row r="375">
      <c r="B375" s="166"/>
      <c r="C375" s="166"/>
      <c r="K375" s="138"/>
    </row>
    <row r="376">
      <c r="B376" s="166"/>
      <c r="C376" s="166"/>
      <c r="K376" s="138"/>
    </row>
    <row r="377">
      <c r="B377" s="166"/>
      <c r="C377" s="166"/>
      <c r="K377" s="138"/>
    </row>
    <row r="378">
      <c r="B378" s="166"/>
      <c r="C378" s="166"/>
      <c r="K378" s="138"/>
    </row>
    <row r="379">
      <c r="B379" s="166"/>
      <c r="C379" s="166"/>
      <c r="K379" s="138"/>
    </row>
    <row r="380">
      <c r="B380" s="166"/>
      <c r="C380" s="166"/>
      <c r="K380" s="138"/>
    </row>
    <row r="381">
      <c r="B381" s="166"/>
      <c r="C381" s="166"/>
      <c r="K381" s="138"/>
    </row>
    <row r="382">
      <c r="B382" s="166"/>
      <c r="C382" s="166"/>
      <c r="K382" s="138"/>
    </row>
    <row r="383">
      <c r="B383" s="166"/>
      <c r="C383" s="166"/>
      <c r="K383" s="138"/>
    </row>
    <row r="384">
      <c r="B384" s="166"/>
      <c r="C384" s="166"/>
      <c r="K384" s="138"/>
    </row>
    <row r="385">
      <c r="B385" s="166"/>
      <c r="C385" s="166"/>
      <c r="K385" s="138"/>
    </row>
    <row r="386">
      <c r="B386" s="166"/>
      <c r="C386" s="166"/>
      <c r="K386" s="138"/>
    </row>
    <row r="387">
      <c r="B387" s="166"/>
      <c r="C387" s="166"/>
      <c r="K387" s="138"/>
    </row>
    <row r="388">
      <c r="B388" s="166"/>
      <c r="C388" s="166"/>
      <c r="K388" s="138"/>
    </row>
    <row r="389">
      <c r="B389" s="166"/>
      <c r="C389" s="166"/>
      <c r="K389" s="138"/>
    </row>
    <row r="390">
      <c r="B390" s="166"/>
      <c r="C390" s="166"/>
      <c r="K390" s="138"/>
    </row>
    <row r="391">
      <c r="B391" s="166"/>
      <c r="C391" s="166"/>
      <c r="K391" s="138"/>
    </row>
    <row r="392">
      <c r="B392" s="166"/>
      <c r="C392" s="166"/>
      <c r="K392" s="138"/>
    </row>
    <row r="393">
      <c r="B393" s="166"/>
      <c r="C393" s="166"/>
      <c r="K393" s="138"/>
    </row>
    <row r="394">
      <c r="B394" s="166"/>
      <c r="C394" s="166"/>
      <c r="K394" s="138"/>
    </row>
    <row r="395">
      <c r="B395" s="166"/>
      <c r="C395" s="166"/>
      <c r="K395" s="138"/>
    </row>
    <row r="396">
      <c r="B396" s="166"/>
      <c r="C396" s="166"/>
      <c r="K396" s="138"/>
    </row>
    <row r="397">
      <c r="B397" s="166"/>
      <c r="C397" s="166"/>
      <c r="K397" s="138"/>
    </row>
    <row r="398">
      <c r="B398" s="166"/>
      <c r="C398" s="166"/>
      <c r="K398" s="138"/>
    </row>
    <row r="399">
      <c r="B399" s="166"/>
      <c r="C399" s="166"/>
      <c r="K399" s="138"/>
    </row>
    <row r="400">
      <c r="B400" s="166"/>
      <c r="C400" s="166"/>
      <c r="K400" s="138"/>
    </row>
    <row r="401">
      <c r="B401" s="166"/>
      <c r="C401" s="166"/>
      <c r="K401" s="138"/>
    </row>
    <row r="402">
      <c r="B402" s="166"/>
      <c r="C402" s="166"/>
      <c r="K402" s="138"/>
    </row>
    <row r="403">
      <c r="B403" s="166"/>
      <c r="C403" s="166"/>
      <c r="K403" s="138"/>
    </row>
    <row r="404">
      <c r="B404" s="166"/>
      <c r="C404" s="166"/>
      <c r="K404" s="138"/>
    </row>
    <row r="405">
      <c r="B405" s="166"/>
      <c r="C405" s="166"/>
      <c r="K405" s="138"/>
    </row>
    <row r="406">
      <c r="B406" s="166"/>
      <c r="C406" s="166"/>
      <c r="K406" s="138"/>
    </row>
    <row r="407">
      <c r="B407" s="166"/>
      <c r="C407" s="166"/>
      <c r="K407" s="138"/>
    </row>
    <row r="408">
      <c r="B408" s="166"/>
      <c r="C408" s="166"/>
      <c r="K408" s="138"/>
    </row>
    <row r="409">
      <c r="B409" s="166"/>
      <c r="C409" s="166"/>
      <c r="K409" s="138"/>
    </row>
    <row r="410">
      <c r="B410" s="166"/>
      <c r="C410" s="166"/>
      <c r="K410" s="138"/>
    </row>
    <row r="411">
      <c r="B411" s="166"/>
      <c r="C411" s="166"/>
      <c r="K411" s="138"/>
    </row>
    <row r="412">
      <c r="B412" s="166"/>
      <c r="C412" s="166"/>
      <c r="K412" s="138"/>
    </row>
    <row r="413">
      <c r="B413" s="166"/>
      <c r="C413" s="166"/>
      <c r="K413" s="138"/>
    </row>
    <row r="414">
      <c r="B414" s="166"/>
      <c r="C414" s="166"/>
      <c r="K414" s="138"/>
    </row>
    <row r="415">
      <c r="B415" s="166"/>
      <c r="C415" s="166"/>
      <c r="K415" s="138"/>
    </row>
    <row r="416">
      <c r="B416" s="166"/>
      <c r="C416" s="166"/>
      <c r="K416" s="138"/>
    </row>
    <row r="417">
      <c r="B417" s="166"/>
      <c r="C417" s="166"/>
      <c r="K417" s="138"/>
    </row>
    <row r="418">
      <c r="B418" s="166"/>
      <c r="C418" s="166"/>
      <c r="K418" s="138"/>
    </row>
    <row r="419">
      <c r="B419" s="166"/>
      <c r="C419" s="166"/>
      <c r="K419" s="138"/>
    </row>
    <row r="420">
      <c r="B420" s="166"/>
      <c r="C420" s="166"/>
      <c r="K420" s="138"/>
    </row>
    <row r="421">
      <c r="B421" s="166"/>
      <c r="C421" s="166"/>
      <c r="K421" s="138"/>
    </row>
    <row r="422">
      <c r="B422" s="166"/>
      <c r="C422" s="166"/>
      <c r="K422" s="138"/>
    </row>
    <row r="423">
      <c r="B423" s="166"/>
      <c r="C423" s="166"/>
      <c r="K423" s="138"/>
    </row>
    <row r="424">
      <c r="B424" s="166"/>
      <c r="C424" s="166"/>
      <c r="K424" s="138"/>
    </row>
    <row r="425">
      <c r="B425" s="166"/>
      <c r="C425" s="166"/>
      <c r="K425" s="138"/>
    </row>
    <row r="426">
      <c r="B426" s="166"/>
      <c r="C426" s="166"/>
      <c r="K426" s="138"/>
    </row>
    <row r="427">
      <c r="B427" s="166"/>
      <c r="C427" s="166"/>
      <c r="K427" s="138"/>
    </row>
    <row r="428">
      <c r="B428" s="166"/>
      <c r="C428" s="166"/>
      <c r="K428" s="138"/>
    </row>
    <row r="429">
      <c r="B429" s="166"/>
      <c r="C429" s="166"/>
      <c r="K429" s="138"/>
    </row>
    <row r="430">
      <c r="B430" s="166"/>
      <c r="C430" s="166"/>
      <c r="K430" s="138"/>
    </row>
    <row r="431">
      <c r="B431" s="166"/>
      <c r="C431" s="166"/>
      <c r="K431" s="138"/>
    </row>
    <row r="432">
      <c r="B432" s="166"/>
      <c r="C432" s="166"/>
      <c r="K432" s="138"/>
    </row>
    <row r="433">
      <c r="B433" s="166"/>
      <c r="C433" s="166"/>
      <c r="K433" s="138"/>
    </row>
    <row r="434">
      <c r="B434" s="166"/>
      <c r="C434" s="166"/>
      <c r="K434" s="138"/>
    </row>
    <row r="435">
      <c r="B435" s="166"/>
      <c r="C435" s="166"/>
      <c r="K435" s="138"/>
    </row>
    <row r="436">
      <c r="B436" s="166"/>
      <c r="C436" s="166"/>
      <c r="K436" s="138"/>
    </row>
    <row r="437">
      <c r="B437" s="166"/>
      <c r="C437" s="166"/>
      <c r="K437" s="138"/>
    </row>
    <row r="438">
      <c r="B438" s="166"/>
      <c r="C438" s="166"/>
      <c r="K438" s="138"/>
    </row>
    <row r="439">
      <c r="B439" s="166"/>
      <c r="C439" s="166"/>
      <c r="K439" s="138"/>
    </row>
    <row r="440">
      <c r="B440" s="166"/>
      <c r="C440" s="166"/>
      <c r="K440" s="138"/>
    </row>
    <row r="441">
      <c r="B441" s="166"/>
      <c r="C441" s="166"/>
      <c r="K441" s="138"/>
    </row>
    <row r="442">
      <c r="B442" s="166"/>
      <c r="C442" s="166"/>
      <c r="K442" s="138"/>
    </row>
    <row r="443">
      <c r="B443" s="166"/>
      <c r="C443" s="166"/>
      <c r="K443" s="138"/>
    </row>
    <row r="444">
      <c r="B444" s="166"/>
      <c r="C444" s="166"/>
      <c r="K444" s="138"/>
    </row>
    <row r="445">
      <c r="B445" s="166"/>
      <c r="C445" s="166"/>
      <c r="K445" s="138"/>
    </row>
    <row r="446">
      <c r="B446" s="166"/>
      <c r="C446" s="166"/>
      <c r="K446" s="138"/>
    </row>
    <row r="447">
      <c r="B447" s="166"/>
      <c r="C447" s="166"/>
      <c r="K447" s="138"/>
    </row>
    <row r="448">
      <c r="B448" s="166"/>
      <c r="C448" s="166"/>
      <c r="K448" s="138"/>
    </row>
    <row r="449">
      <c r="B449" s="166"/>
      <c r="C449" s="166"/>
      <c r="K449" s="138"/>
    </row>
    <row r="450">
      <c r="B450" s="166"/>
      <c r="C450" s="166"/>
      <c r="K450" s="138"/>
    </row>
    <row r="451">
      <c r="B451" s="166"/>
      <c r="C451" s="166"/>
      <c r="K451" s="138"/>
    </row>
    <row r="452">
      <c r="B452" s="166"/>
      <c r="C452" s="166"/>
      <c r="K452" s="138"/>
    </row>
    <row r="453">
      <c r="B453" s="166"/>
      <c r="C453" s="166"/>
      <c r="K453" s="138"/>
    </row>
    <row r="454">
      <c r="B454" s="166"/>
      <c r="C454" s="166"/>
      <c r="K454" s="138"/>
    </row>
    <row r="455">
      <c r="B455" s="166"/>
      <c r="C455" s="166"/>
      <c r="K455" s="138"/>
    </row>
    <row r="456">
      <c r="B456" s="166"/>
      <c r="C456" s="166"/>
      <c r="K456" s="138"/>
    </row>
    <row r="457">
      <c r="B457" s="166"/>
      <c r="C457" s="166"/>
      <c r="K457" s="138"/>
    </row>
    <row r="458">
      <c r="B458" s="166"/>
      <c r="C458" s="166"/>
      <c r="K458" s="138"/>
    </row>
    <row r="459">
      <c r="B459" s="166"/>
      <c r="C459" s="166"/>
      <c r="K459" s="138"/>
    </row>
    <row r="460">
      <c r="B460" s="166"/>
      <c r="C460" s="166"/>
      <c r="K460" s="138"/>
    </row>
    <row r="461">
      <c r="B461" s="166"/>
      <c r="C461" s="166"/>
      <c r="K461" s="138"/>
    </row>
    <row r="462">
      <c r="B462" s="166"/>
      <c r="C462" s="166"/>
      <c r="K462" s="138"/>
    </row>
    <row r="463">
      <c r="B463" s="166"/>
      <c r="C463" s="166"/>
      <c r="K463" s="138"/>
    </row>
    <row r="464">
      <c r="B464" s="166"/>
      <c r="C464" s="166"/>
      <c r="K464" s="138"/>
    </row>
    <row r="465">
      <c r="B465" s="166"/>
      <c r="C465" s="166"/>
      <c r="K465" s="138"/>
    </row>
    <row r="466">
      <c r="B466" s="166"/>
      <c r="C466" s="166"/>
      <c r="K466" s="138"/>
    </row>
    <row r="467">
      <c r="B467" s="166"/>
      <c r="C467" s="166"/>
      <c r="K467" s="138"/>
    </row>
    <row r="468">
      <c r="B468" s="166"/>
      <c r="C468" s="166"/>
      <c r="K468" s="138"/>
    </row>
    <row r="469">
      <c r="B469" s="166"/>
      <c r="C469" s="166"/>
      <c r="K469" s="138"/>
    </row>
    <row r="470">
      <c r="B470" s="166"/>
      <c r="C470" s="166"/>
      <c r="K470" s="138"/>
    </row>
    <row r="471">
      <c r="B471" s="166"/>
      <c r="C471" s="166"/>
      <c r="K471" s="138"/>
    </row>
    <row r="472">
      <c r="B472" s="166"/>
      <c r="C472" s="166"/>
      <c r="K472" s="138"/>
    </row>
    <row r="473">
      <c r="B473" s="166"/>
      <c r="C473" s="166"/>
      <c r="K473" s="138"/>
    </row>
    <row r="474">
      <c r="B474" s="166"/>
      <c r="C474" s="166"/>
      <c r="K474" s="138"/>
    </row>
    <row r="475">
      <c r="B475" s="166"/>
      <c r="C475" s="166"/>
      <c r="K475" s="138"/>
    </row>
    <row r="476">
      <c r="B476" s="166"/>
      <c r="C476" s="166"/>
      <c r="K476" s="138"/>
    </row>
    <row r="477">
      <c r="B477" s="166"/>
      <c r="C477" s="166"/>
      <c r="K477" s="138"/>
    </row>
    <row r="478">
      <c r="B478" s="166"/>
      <c r="C478" s="166"/>
      <c r="K478" s="138"/>
    </row>
    <row r="479">
      <c r="B479" s="166"/>
      <c r="C479" s="166"/>
      <c r="K479" s="138"/>
    </row>
    <row r="480">
      <c r="B480" s="166"/>
      <c r="C480" s="166"/>
      <c r="K480" s="138"/>
    </row>
    <row r="481">
      <c r="B481" s="166"/>
      <c r="C481" s="166"/>
      <c r="K481" s="138"/>
    </row>
    <row r="482">
      <c r="B482" s="166"/>
      <c r="C482" s="166"/>
      <c r="K482" s="138"/>
    </row>
    <row r="483">
      <c r="B483" s="166"/>
      <c r="C483" s="166"/>
      <c r="K483" s="138"/>
    </row>
    <row r="484">
      <c r="B484" s="166"/>
      <c r="C484" s="166"/>
      <c r="K484" s="138"/>
    </row>
    <row r="485">
      <c r="B485" s="166"/>
      <c r="C485" s="166"/>
      <c r="K485" s="138"/>
    </row>
    <row r="486">
      <c r="B486" s="166"/>
      <c r="C486" s="166"/>
      <c r="K486" s="138"/>
    </row>
    <row r="487">
      <c r="B487" s="166"/>
      <c r="C487" s="166"/>
      <c r="K487" s="138"/>
    </row>
    <row r="488">
      <c r="B488" s="166"/>
      <c r="C488" s="166"/>
      <c r="K488" s="138"/>
    </row>
    <row r="489">
      <c r="B489" s="166"/>
      <c r="C489" s="166"/>
      <c r="K489" s="138"/>
    </row>
    <row r="490">
      <c r="B490" s="166"/>
      <c r="C490" s="166"/>
      <c r="K490" s="138"/>
    </row>
    <row r="491">
      <c r="B491" s="166"/>
      <c r="C491" s="166"/>
      <c r="K491" s="138"/>
    </row>
    <row r="492">
      <c r="B492" s="166"/>
      <c r="C492" s="166"/>
      <c r="K492" s="138"/>
    </row>
    <row r="493">
      <c r="B493" s="166"/>
      <c r="C493" s="166"/>
      <c r="K493" s="138"/>
    </row>
    <row r="494">
      <c r="B494" s="166"/>
      <c r="C494" s="166"/>
      <c r="K494" s="138"/>
    </row>
    <row r="495">
      <c r="B495" s="166"/>
      <c r="C495" s="166"/>
      <c r="K495" s="138"/>
    </row>
    <row r="496">
      <c r="B496" s="166"/>
      <c r="C496" s="166"/>
      <c r="K496" s="138"/>
    </row>
    <row r="497">
      <c r="B497" s="166"/>
      <c r="C497" s="166"/>
      <c r="K497" s="138"/>
    </row>
    <row r="498">
      <c r="B498" s="166"/>
      <c r="C498" s="166"/>
      <c r="K498" s="138"/>
    </row>
    <row r="499">
      <c r="B499" s="166"/>
      <c r="C499" s="166"/>
      <c r="K499" s="138"/>
    </row>
    <row r="500">
      <c r="B500" s="166"/>
      <c r="C500" s="166"/>
      <c r="K500" s="138"/>
    </row>
    <row r="501">
      <c r="B501" s="166"/>
      <c r="C501" s="166"/>
      <c r="K501" s="138"/>
    </row>
    <row r="502">
      <c r="B502" s="166"/>
      <c r="C502" s="166"/>
      <c r="K502" s="138"/>
    </row>
    <row r="503">
      <c r="B503" s="166"/>
      <c r="C503" s="166"/>
      <c r="K503" s="138"/>
    </row>
    <row r="504">
      <c r="B504" s="166"/>
      <c r="C504" s="166"/>
      <c r="K504" s="138"/>
    </row>
    <row r="505">
      <c r="B505" s="166"/>
      <c r="C505" s="166"/>
      <c r="K505" s="138"/>
    </row>
    <row r="506">
      <c r="B506" s="166"/>
      <c r="C506" s="166"/>
      <c r="K506" s="138"/>
    </row>
    <row r="507">
      <c r="B507" s="166"/>
      <c r="C507" s="166"/>
      <c r="K507" s="138"/>
    </row>
    <row r="508">
      <c r="B508" s="166"/>
      <c r="C508" s="166"/>
      <c r="K508" s="138"/>
    </row>
    <row r="509">
      <c r="B509" s="166"/>
      <c r="C509" s="166"/>
      <c r="K509" s="138"/>
    </row>
    <row r="510">
      <c r="B510" s="166"/>
      <c r="C510" s="166"/>
      <c r="K510" s="138"/>
    </row>
    <row r="511">
      <c r="B511" s="166"/>
      <c r="C511" s="166"/>
      <c r="K511" s="138"/>
    </row>
    <row r="512">
      <c r="B512" s="166"/>
      <c r="C512" s="166"/>
      <c r="K512" s="138"/>
    </row>
    <row r="513">
      <c r="B513" s="166"/>
      <c r="C513" s="166"/>
      <c r="K513" s="138"/>
    </row>
    <row r="514">
      <c r="B514" s="166"/>
      <c r="C514" s="166"/>
      <c r="K514" s="138"/>
    </row>
    <row r="515">
      <c r="B515" s="166"/>
      <c r="C515" s="166"/>
      <c r="K515" s="138"/>
    </row>
    <row r="516">
      <c r="B516" s="166"/>
      <c r="C516" s="166"/>
      <c r="K516" s="138"/>
    </row>
    <row r="517">
      <c r="B517" s="166"/>
      <c r="C517" s="166"/>
      <c r="K517" s="138"/>
    </row>
    <row r="518">
      <c r="B518" s="166"/>
      <c r="C518" s="166"/>
      <c r="K518" s="138"/>
    </row>
    <row r="519">
      <c r="B519" s="166"/>
      <c r="C519" s="166"/>
      <c r="K519" s="138"/>
    </row>
    <row r="520">
      <c r="B520" s="166"/>
      <c r="C520" s="166"/>
      <c r="K520" s="138"/>
    </row>
    <row r="521">
      <c r="B521" s="166"/>
      <c r="C521" s="166"/>
      <c r="K521" s="138"/>
    </row>
    <row r="522">
      <c r="B522" s="166"/>
      <c r="C522" s="166"/>
      <c r="K522" s="138"/>
    </row>
    <row r="523">
      <c r="B523" s="166"/>
      <c r="C523" s="166"/>
      <c r="K523" s="138"/>
    </row>
    <row r="524">
      <c r="B524" s="166"/>
      <c r="C524" s="166"/>
      <c r="K524" s="138"/>
    </row>
    <row r="525">
      <c r="B525" s="166"/>
      <c r="C525" s="166"/>
      <c r="K525" s="138"/>
    </row>
    <row r="526">
      <c r="B526" s="166"/>
      <c r="C526" s="166"/>
      <c r="K526" s="138"/>
    </row>
    <row r="527">
      <c r="B527" s="166"/>
      <c r="C527" s="166"/>
      <c r="K527" s="138"/>
    </row>
    <row r="528">
      <c r="B528" s="166"/>
      <c r="C528" s="166"/>
      <c r="K528" s="138"/>
    </row>
    <row r="529">
      <c r="B529" s="166"/>
      <c r="C529" s="166"/>
      <c r="K529" s="138"/>
    </row>
    <row r="530">
      <c r="B530" s="166"/>
      <c r="C530" s="166"/>
      <c r="K530" s="138"/>
    </row>
    <row r="531">
      <c r="B531" s="166"/>
      <c r="C531" s="166"/>
      <c r="K531" s="138"/>
    </row>
    <row r="532">
      <c r="B532" s="166"/>
      <c r="C532" s="166"/>
      <c r="K532" s="138"/>
    </row>
    <row r="533">
      <c r="B533" s="166"/>
      <c r="C533" s="166"/>
      <c r="K533" s="138"/>
    </row>
    <row r="534">
      <c r="B534" s="166"/>
      <c r="C534" s="166"/>
      <c r="K534" s="138"/>
    </row>
    <row r="535">
      <c r="B535" s="166"/>
      <c r="C535" s="166"/>
      <c r="K535" s="138"/>
    </row>
    <row r="536">
      <c r="B536" s="166"/>
      <c r="C536" s="166"/>
      <c r="K536" s="138"/>
    </row>
    <row r="537">
      <c r="B537" s="166"/>
      <c r="C537" s="166"/>
      <c r="K537" s="138"/>
    </row>
    <row r="538">
      <c r="B538" s="166"/>
      <c r="C538" s="166"/>
      <c r="K538" s="138"/>
    </row>
    <row r="539">
      <c r="B539" s="166"/>
      <c r="C539" s="166"/>
      <c r="K539" s="138"/>
    </row>
    <row r="540">
      <c r="B540" s="166"/>
      <c r="C540" s="166"/>
      <c r="K540" s="138"/>
    </row>
    <row r="541">
      <c r="B541" s="166"/>
      <c r="C541" s="166"/>
      <c r="K541" s="138"/>
    </row>
    <row r="542">
      <c r="B542" s="166"/>
      <c r="C542" s="166"/>
      <c r="K542" s="138"/>
    </row>
    <row r="543">
      <c r="B543" s="166"/>
      <c r="C543" s="166"/>
      <c r="K543" s="138"/>
    </row>
    <row r="544">
      <c r="B544" s="166"/>
      <c r="C544" s="166"/>
      <c r="K544" s="138"/>
    </row>
    <row r="545">
      <c r="B545" s="166"/>
      <c r="C545" s="166"/>
      <c r="K545" s="138"/>
    </row>
    <row r="546">
      <c r="B546" s="166"/>
      <c r="C546" s="166"/>
      <c r="K546" s="138"/>
    </row>
    <row r="547">
      <c r="B547" s="166"/>
      <c r="C547" s="166"/>
      <c r="K547" s="138"/>
    </row>
    <row r="548">
      <c r="B548" s="166"/>
      <c r="C548" s="166"/>
      <c r="K548" s="138"/>
    </row>
    <row r="549">
      <c r="B549" s="166"/>
      <c r="C549" s="166"/>
      <c r="K549" s="138"/>
    </row>
    <row r="550">
      <c r="B550" s="166"/>
      <c r="C550" s="166"/>
      <c r="K550" s="138"/>
    </row>
    <row r="551">
      <c r="B551" s="166"/>
      <c r="C551" s="166"/>
      <c r="K551" s="138"/>
    </row>
    <row r="552">
      <c r="B552" s="166"/>
      <c r="C552" s="166"/>
      <c r="K552" s="138"/>
    </row>
    <row r="553">
      <c r="B553" s="166"/>
      <c r="C553" s="166"/>
      <c r="K553" s="138"/>
    </row>
    <row r="554">
      <c r="B554" s="166"/>
      <c r="C554" s="166"/>
      <c r="K554" s="138"/>
    </row>
    <row r="555">
      <c r="B555" s="166"/>
      <c r="C555" s="166"/>
      <c r="K555" s="138"/>
    </row>
    <row r="556">
      <c r="B556" s="166"/>
      <c r="C556" s="166"/>
      <c r="K556" s="138"/>
    </row>
    <row r="557">
      <c r="B557" s="166"/>
      <c r="C557" s="166"/>
      <c r="K557" s="138"/>
    </row>
    <row r="558">
      <c r="B558" s="166"/>
      <c r="C558" s="166"/>
      <c r="K558" s="138"/>
    </row>
    <row r="559">
      <c r="B559" s="166"/>
      <c r="C559" s="166"/>
      <c r="K559" s="138"/>
    </row>
    <row r="560">
      <c r="B560" s="166"/>
      <c r="C560" s="166"/>
      <c r="K560" s="138"/>
    </row>
    <row r="561">
      <c r="B561" s="166"/>
      <c r="C561" s="166"/>
      <c r="K561" s="138"/>
    </row>
    <row r="562">
      <c r="B562" s="166"/>
      <c r="C562" s="166"/>
      <c r="K562" s="138"/>
    </row>
    <row r="563">
      <c r="B563" s="166"/>
      <c r="C563" s="166"/>
      <c r="K563" s="138"/>
    </row>
    <row r="564">
      <c r="B564" s="166"/>
      <c r="C564" s="166"/>
      <c r="K564" s="138"/>
    </row>
    <row r="565">
      <c r="B565" s="166"/>
      <c r="C565" s="166"/>
      <c r="K565" s="138"/>
    </row>
    <row r="566">
      <c r="B566" s="166"/>
      <c r="C566" s="166"/>
      <c r="K566" s="138"/>
    </row>
    <row r="567">
      <c r="B567" s="166"/>
      <c r="C567" s="166"/>
      <c r="K567" s="138"/>
    </row>
    <row r="568">
      <c r="B568" s="166"/>
      <c r="C568" s="166"/>
      <c r="K568" s="138"/>
    </row>
    <row r="569">
      <c r="B569" s="166"/>
      <c r="C569" s="166"/>
      <c r="K569" s="138"/>
    </row>
    <row r="570">
      <c r="B570" s="166"/>
      <c r="C570" s="166"/>
      <c r="K570" s="138"/>
    </row>
    <row r="571">
      <c r="B571" s="166"/>
      <c r="C571" s="166"/>
      <c r="K571" s="138"/>
    </row>
    <row r="572">
      <c r="B572" s="166"/>
      <c r="C572" s="166"/>
      <c r="K572" s="138"/>
    </row>
    <row r="573">
      <c r="B573" s="166"/>
      <c r="C573" s="166"/>
      <c r="K573" s="138"/>
    </row>
    <row r="574">
      <c r="B574" s="166"/>
      <c r="C574" s="166"/>
      <c r="K574" s="138"/>
    </row>
    <row r="575">
      <c r="B575" s="166"/>
      <c r="C575" s="166"/>
      <c r="K575" s="138"/>
    </row>
    <row r="576">
      <c r="B576" s="166"/>
      <c r="C576" s="166"/>
      <c r="K576" s="138"/>
    </row>
    <row r="577">
      <c r="B577" s="166"/>
      <c r="C577" s="166"/>
      <c r="K577" s="138"/>
    </row>
    <row r="578">
      <c r="B578" s="166"/>
      <c r="C578" s="166"/>
      <c r="K578" s="138"/>
    </row>
    <row r="579">
      <c r="B579" s="166"/>
      <c r="C579" s="166"/>
      <c r="K579" s="138"/>
    </row>
    <row r="580">
      <c r="B580" s="166"/>
      <c r="C580" s="166"/>
      <c r="K580" s="138"/>
    </row>
    <row r="581">
      <c r="B581" s="166"/>
      <c r="C581" s="166"/>
      <c r="K581" s="138"/>
    </row>
    <row r="582">
      <c r="B582" s="166"/>
      <c r="C582" s="166"/>
      <c r="K582" s="138"/>
    </row>
    <row r="583">
      <c r="B583" s="166"/>
      <c r="C583" s="166"/>
      <c r="K583" s="138"/>
    </row>
    <row r="584">
      <c r="B584" s="166"/>
      <c r="C584" s="166"/>
      <c r="K584" s="138"/>
    </row>
    <row r="585">
      <c r="B585" s="166"/>
      <c r="C585" s="166"/>
      <c r="K585" s="138"/>
    </row>
    <row r="586">
      <c r="B586" s="166"/>
      <c r="C586" s="166"/>
      <c r="K586" s="138"/>
    </row>
    <row r="587">
      <c r="B587" s="166"/>
      <c r="C587" s="166"/>
      <c r="K587" s="138"/>
    </row>
    <row r="588">
      <c r="B588" s="166"/>
      <c r="C588" s="166"/>
      <c r="K588" s="138"/>
    </row>
    <row r="589">
      <c r="B589" s="166"/>
      <c r="C589" s="166"/>
      <c r="K589" s="138"/>
    </row>
    <row r="590">
      <c r="B590" s="166"/>
      <c r="C590" s="166"/>
      <c r="K590" s="138"/>
    </row>
    <row r="591">
      <c r="B591" s="166"/>
      <c r="C591" s="166"/>
      <c r="K591" s="138"/>
    </row>
    <row r="592">
      <c r="B592" s="166"/>
      <c r="C592" s="166"/>
      <c r="K592" s="138"/>
    </row>
    <row r="593">
      <c r="B593" s="166"/>
      <c r="C593" s="166"/>
      <c r="K593" s="138"/>
    </row>
    <row r="594">
      <c r="B594" s="166"/>
      <c r="C594" s="166"/>
      <c r="K594" s="138"/>
    </row>
    <row r="595">
      <c r="B595" s="166"/>
      <c r="C595" s="166"/>
      <c r="K595" s="138"/>
    </row>
    <row r="596">
      <c r="B596" s="166"/>
      <c r="C596" s="166"/>
      <c r="K596" s="138"/>
    </row>
    <row r="597">
      <c r="B597" s="166"/>
      <c r="C597" s="166"/>
      <c r="K597" s="138"/>
    </row>
    <row r="598">
      <c r="B598" s="166"/>
      <c r="C598" s="166"/>
      <c r="K598" s="138"/>
    </row>
    <row r="599">
      <c r="B599" s="166"/>
      <c r="C599" s="166"/>
      <c r="K599" s="138"/>
    </row>
    <row r="600">
      <c r="B600" s="166"/>
      <c r="C600" s="166"/>
      <c r="K600" s="138"/>
    </row>
    <row r="601">
      <c r="B601" s="166"/>
      <c r="C601" s="166"/>
      <c r="K601" s="138"/>
    </row>
    <row r="602">
      <c r="B602" s="166"/>
      <c r="C602" s="166"/>
      <c r="K602" s="138"/>
    </row>
    <row r="603">
      <c r="B603" s="166"/>
      <c r="C603" s="166"/>
      <c r="K603" s="138"/>
    </row>
    <row r="604">
      <c r="B604" s="166"/>
      <c r="C604" s="166"/>
      <c r="K604" s="138"/>
    </row>
    <row r="605">
      <c r="B605" s="166"/>
      <c r="C605" s="166"/>
      <c r="K605" s="138"/>
    </row>
    <row r="606">
      <c r="B606" s="166"/>
      <c r="C606" s="166"/>
      <c r="K606" s="138"/>
    </row>
    <row r="607">
      <c r="B607" s="166"/>
      <c r="C607" s="166"/>
      <c r="K607" s="138"/>
    </row>
    <row r="608">
      <c r="B608" s="166"/>
      <c r="C608" s="166"/>
      <c r="K608" s="138"/>
    </row>
    <row r="609">
      <c r="B609" s="166"/>
      <c r="C609" s="166"/>
      <c r="K609" s="138"/>
    </row>
    <row r="610">
      <c r="B610" s="166"/>
      <c r="C610" s="166"/>
      <c r="K610" s="138"/>
    </row>
    <row r="611">
      <c r="B611" s="166"/>
      <c r="C611" s="166"/>
      <c r="K611" s="138"/>
    </row>
    <row r="612">
      <c r="B612" s="166"/>
      <c r="C612" s="166"/>
      <c r="K612" s="138"/>
    </row>
    <row r="613">
      <c r="B613" s="166"/>
      <c r="C613" s="166"/>
      <c r="K613" s="138"/>
    </row>
    <row r="614">
      <c r="B614" s="166"/>
      <c r="C614" s="166"/>
      <c r="K614" s="138"/>
    </row>
    <row r="615">
      <c r="B615" s="166"/>
      <c r="C615" s="166"/>
      <c r="K615" s="138"/>
    </row>
    <row r="616">
      <c r="B616" s="166"/>
      <c r="C616" s="166"/>
      <c r="K616" s="138"/>
    </row>
    <row r="617">
      <c r="B617" s="166"/>
      <c r="C617" s="166"/>
      <c r="K617" s="138"/>
    </row>
    <row r="618">
      <c r="B618" s="166"/>
      <c r="C618" s="166"/>
      <c r="K618" s="138"/>
    </row>
    <row r="619">
      <c r="B619" s="166"/>
      <c r="C619" s="166"/>
      <c r="K619" s="138"/>
    </row>
    <row r="620">
      <c r="B620" s="166"/>
      <c r="C620" s="166"/>
      <c r="K620" s="138"/>
    </row>
    <row r="621">
      <c r="B621" s="166"/>
      <c r="C621" s="166"/>
      <c r="K621" s="138"/>
    </row>
    <row r="622">
      <c r="B622" s="166"/>
      <c r="C622" s="166"/>
      <c r="K622" s="138"/>
    </row>
    <row r="623">
      <c r="B623" s="166"/>
      <c r="C623" s="166"/>
      <c r="K623" s="138"/>
    </row>
    <row r="624">
      <c r="B624" s="166"/>
      <c r="C624" s="166"/>
      <c r="K624" s="138"/>
    </row>
    <row r="625">
      <c r="B625" s="166"/>
      <c r="C625" s="166"/>
      <c r="K625" s="138"/>
    </row>
    <row r="626">
      <c r="B626" s="166"/>
      <c r="C626" s="166"/>
      <c r="K626" s="138"/>
    </row>
    <row r="627">
      <c r="B627" s="166"/>
      <c r="C627" s="166"/>
      <c r="K627" s="138"/>
    </row>
    <row r="628">
      <c r="B628" s="166"/>
      <c r="C628" s="166"/>
      <c r="K628" s="138"/>
    </row>
    <row r="629">
      <c r="B629" s="166"/>
      <c r="C629" s="166"/>
      <c r="K629" s="138"/>
    </row>
    <row r="630">
      <c r="B630" s="166"/>
      <c r="C630" s="166"/>
      <c r="K630" s="138"/>
    </row>
    <row r="631">
      <c r="B631" s="166"/>
      <c r="C631" s="166"/>
      <c r="K631" s="138"/>
    </row>
    <row r="632">
      <c r="B632" s="166"/>
      <c r="C632" s="166"/>
      <c r="K632" s="138"/>
    </row>
    <row r="633">
      <c r="B633" s="166"/>
      <c r="C633" s="166"/>
      <c r="K633" s="138"/>
    </row>
    <row r="634">
      <c r="B634" s="166"/>
      <c r="C634" s="166"/>
      <c r="K634" s="138"/>
    </row>
    <row r="635">
      <c r="B635" s="166"/>
      <c r="C635" s="166"/>
      <c r="K635" s="138"/>
    </row>
    <row r="636">
      <c r="B636" s="166"/>
      <c r="C636" s="166"/>
      <c r="K636" s="138"/>
    </row>
    <row r="637">
      <c r="B637" s="166"/>
      <c r="C637" s="166"/>
      <c r="K637" s="138"/>
    </row>
    <row r="638">
      <c r="B638" s="166"/>
      <c r="C638" s="166"/>
      <c r="K638" s="138"/>
    </row>
    <row r="639">
      <c r="B639" s="166"/>
      <c r="C639" s="166"/>
      <c r="K639" s="138"/>
    </row>
    <row r="640">
      <c r="B640" s="166"/>
      <c r="C640" s="166"/>
      <c r="K640" s="138"/>
    </row>
    <row r="641">
      <c r="B641" s="166"/>
      <c r="C641" s="166"/>
      <c r="K641" s="138"/>
    </row>
    <row r="642">
      <c r="B642" s="166"/>
      <c r="C642" s="166"/>
      <c r="K642" s="138"/>
    </row>
    <row r="643">
      <c r="B643" s="166"/>
      <c r="C643" s="166"/>
      <c r="K643" s="138"/>
    </row>
    <row r="644">
      <c r="B644" s="166"/>
      <c r="C644" s="166"/>
      <c r="K644" s="138"/>
    </row>
    <row r="645">
      <c r="B645" s="166"/>
      <c r="C645" s="166"/>
      <c r="K645" s="138"/>
    </row>
    <row r="646">
      <c r="B646" s="166"/>
      <c r="C646" s="166"/>
      <c r="K646" s="138"/>
    </row>
    <row r="647">
      <c r="B647" s="166"/>
      <c r="C647" s="166"/>
      <c r="K647" s="138"/>
    </row>
    <row r="648">
      <c r="B648" s="166"/>
      <c r="C648" s="166"/>
      <c r="K648" s="138"/>
    </row>
    <row r="649">
      <c r="B649" s="166"/>
      <c r="C649" s="166"/>
      <c r="K649" s="138"/>
    </row>
    <row r="650">
      <c r="B650" s="166"/>
      <c r="C650" s="166"/>
      <c r="K650" s="138"/>
    </row>
    <row r="651">
      <c r="B651" s="166"/>
      <c r="C651" s="166"/>
      <c r="K651" s="138"/>
    </row>
    <row r="652">
      <c r="B652" s="166"/>
      <c r="C652" s="166"/>
      <c r="K652" s="138"/>
    </row>
    <row r="653">
      <c r="B653" s="166"/>
      <c r="C653" s="166"/>
      <c r="K653" s="138"/>
    </row>
    <row r="654">
      <c r="B654" s="166"/>
      <c r="C654" s="166"/>
      <c r="K654" s="138"/>
    </row>
    <row r="655">
      <c r="B655" s="166"/>
      <c r="C655" s="166"/>
      <c r="K655" s="138"/>
    </row>
    <row r="656">
      <c r="B656" s="166"/>
      <c r="C656" s="166"/>
      <c r="K656" s="138"/>
    </row>
    <row r="657">
      <c r="B657" s="166"/>
      <c r="C657" s="166"/>
      <c r="K657" s="138"/>
    </row>
    <row r="658">
      <c r="B658" s="166"/>
      <c r="C658" s="166"/>
      <c r="K658" s="138"/>
    </row>
    <row r="659">
      <c r="B659" s="166"/>
      <c r="C659" s="166"/>
      <c r="K659" s="138"/>
    </row>
    <row r="660">
      <c r="B660" s="166"/>
      <c r="C660" s="166"/>
      <c r="K660" s="138"/>
    </row>
    <row r="661">
      <c r="B661" s="166"/>
      <c r="C661" s="166"/>
      <c r="K661" s="138"/>
    </row>
    <row r="662">
      <c r="B662" s="166"/>
      <c r="C662" s="166"/>
      <c r="K662" s="138"/>
    </row>
    <row r="663">
      <c r="B663" s="166"/>
      <c r="C663" s="166"/>
      <c r="K663" s="138"/>
    </row>
    <row r="664">
      <c r="B664" s="166"/>
      <c r="C664" s="166"/>
      <c r="K664" s="138"/>
    </row>
    <row r="665">
      <c r="B665" s="166"/>
      <c r="C665" s="166"/>
      <c r="K665" s="138"/>
    </row>
    <row r="666">
      <c r="B666" s="166"/>
      <c r="C666" s="166"/>
      <c r="K666" s="138"/>
    </row>
    <row r="667">
      <c r="B667" s="166"/>
      <c r="C667" s="166"/>
      <c r="K667" s="138"/>
    </row>
    <row r="668">
      <c r="B668" s="166"/>
      <c r="C668" s="166"/>
      <c r="K668" s="138"/>
    </row>
    <row r="669">
      <c r="B669" s="166"/>
      <c r="C669" s="166"/>
      <c r="K669" s="138"/>
    </row>
    <row r="670">
      <c r="B670" s="166"/>
      <c r="C670" s="166"/>
      <c r="K670" s="138"/>
    </row>
    <row r="671">
      <c r="B671" s="166"/>
      <c r="C671" s="166"/>
      <c r="K671" s="138"/>
    </row>
    <row r="672">
      <c r="B672" s="166"/>
      <c r="C672" s="166"/>
      <c r="K672" s="138"/>
    </row>
    <row r="673">
      <c r="B673" s="166"/>
      <c r="C673" s="166"/>
      <c r="K673" s="138"/>
    </row>
    <row r="674">
      <c r="B674" s="166"/>
      <c r="C674" s="166"/>
      <c r="K674" s="138"/>
    </row>
    <row r="675">
      <c r="B675" s="166"/>
      <c r="C675" s="166"/>
      <c r="K675" s="138"/>
    </row>
    <row r="676">
      <c r="B676" s="166"/>
      <c r="C676" s="166"/>
      <c r="K676" s="138"/>
    </row>
    <row r="677">
      <c r="B677" s="166"/>
      <c r="C677" s="166"/>
      <c r="K677" s="138"/>
    </row>
    <row r="678">
      <c r="B678" s="166"/>
      <c r="C678" s="166"/>
      <c r="K678" s="138"/>
    </row>
    <row r="679">
      <c r="B679" s="166"/>
      <c r="C679" s="166"/>
      <c r="K679" s="138"/>
    </row>
    <row r="680">
      <c r="B680" s="166"/>
      <c r="C680" s="166"/>
      <c r="K680" s="138"/>
    </row>
    <row r="681">
      <c r="B681" s="166"/>
      <c r="C681" s="166"/>
      <c r="K681" s="138"/>
    </row>
    <row r="682">
      <c r="B682" s="166"/>
      <c r="C682" s="166"/>
      <c r="K682" s="138"/>
    </row>
    <row r="683">
      <c r="B683" s="166"/>
      <c r="C683" s="166"/>
      <c r="K683" s="138"/>
    </row>
    <row r="684">
      <c r="B684" s="166"/>
      <c r="C684" s="166"/>
      <c r="K684" s="138"/>
    </row>
    <row r="685">
      <c r="B685" s="166"/>
      <c r="C685" s="166"/>
      <c r="K685" s="138"/>
    </row>
    <row r="686">
      <c r="B686" s="166"/>
      <c r="C686" s="166"/>
      <c r="K686" s="138"/>
    </row>
    <row r="687">
      <c r="B687" s="166"/>
      <c r="C687" s="166"/>
      <c r="K687" s="138"/>
    </row>
    <row r="688">
      <c r="B688" s="166"/>
      <c r="C688" s="166"/>
      <c r="K688" s="138"/>
    </row>
    <row r="689">
      <c r="B689" s="166"/>
      <c r="C689" s="166"/>
      <c r="K689" s="138"/>
    </row>
    <row r="690">
      <c r="B690" s="166"/>
      <c r="C690" s="166"/>
      <c r="K690" s="138"/>
    </row>
    <row r="691">
      <c r="B691" s="166"/>
      <c r="C691" s="166"/>
      <c r="K691" s="138"/>
    </row>
    <row r="692">
      <c r="B692" s="166"/>
      <c r="C692" s="166"/>
      <c r="K692" s="138"/>
    </row>
    <row r="693">
      <c r="B693" s="166"/>
      <c r="C693" s="166"/>
      <c r="K693" s="138"/>
    </row>
    <row r="694">
      <c r="B694" s="166"/>
      <c r="C694" s="166"/>
      <c r="K694" s="138"/>
    </row>
    <row r="695">
      <c r="B695" s="166"/>
      <c r="C695" s="166"/>
      <c r="K695" s="138"/>
    </row>
    <row r="696">
      <c r="B696" s="166"/>
      <c r="C696" s="166"/>
      <c r="K696" s="138"/>
    </row>
    <row r="697">
      <c r="B697" s="166"/>
      <c r="C697" s="166"/>
      <c r="K697" s="138"/>
    </row>
    <row r="698">
      <c r="B698" s="166"/>
      <c r="C698" s="166"/>
      <c r="K698" s="138"/>
    </row>
    <row r="699">
      <c r="B699" s="166"/>
      <c r="C699" s="166"/>
      <c r="K699" s="138"/>
    </row>
    <row r="700">
      <c r="B700" s="166"/>
      <c r="C700" s="166"/>
      <c r="K700" s="138"/>
    </row>
    <row r="701">
      <c r="B701" s="166"/>
      <c r="C701" s="166"/>
      <c r="K701" s="138"/>
    </row>
    <row r="702">
      <c r="B702" s="166"/>
      <c r="C702" s="166"/>
      <c r="K702" s="138"/>
    </row>
    <row r="703">
      <c r="B703" s="166"/>
      <c r="C703" s="166"/>
      <c r="K703" s="138"/>
    </row>
    <row r="704">
      <c r="B704" s="166"/>
      <c r="C704" s="166"/>
      <c r="K704" s="138"/>
    </row>
    <row r="705">
      <c r="B705" s="166"/>
      <c r="C705" s="166"/>
      <c r="K705" s="138"/>
    </row>
    <row r="706">
      <c r="B706" s="166"/>
      <c r="C706" s="166"/>
      <c r="K706" s="138"/>
    </row>
    <row r="707">
      <c r="B707" s="166"/>
      <c r="C707" s="166"/>
      <c r="K707" s="138"/>
    </row>
    <row r="708">
      <c r="B708" s="166"/>
      <c r="C708" s="166"/>
      <c r="K708" s="138"/>
    </row>
    <row r="709">
      <c r="B709" s="166"/>
      <c r="C709" s="166"/>
      <c r="K709" s="138"/>
    </row>
    <row r="710">
      <c r="B710" s="166"/>
      <c r="C710" s="166"/>
      <c r="K710" s="138"/>
    </row>
    <row r="711">
      <c r="B711" s="166"/>
      <c r="C711" s="166"/>
      <c r="K711" s="138"/>
    </row>
    <row r="712">
      <c r="B712" s="166"/>
      <c r="C712" s="166"/>
      <c r="K712" s="138"/>
    </row>
    <row r="713">
      <c r="B713" s="166"/>
      <c r="C713" s="166"/>
      <c r="K713" s="138"/>
    </row>
    <row r="714">
      <c r="B714" s="166"/>
      <c r="C714" s="166"/>
      <c r="K714" s="138"/>
    </row>
    <row r="715">
      <c r="B715" s="166"/>
      <c r="C715" s="166"/>
      <c r="K715" s="138"/>
    </row>
    <row r="716">
      <c r="B716" s="166"/>
      <c r="C716" s="166"/>
      <c r="K716" s="138"/>
    </row>
    <row r="717">
      <c r="B717" s="166"/>
      <c r="C717" s="166"/>
      <c r="K717" s="138"/>
    </row>
    <row r="718">
      <c r="B718" s="166"/>
      <c r="C718" s="166"/>
      <c r="K718" s="138"/>
    </row>
    <row r="719">
      <c r="B719" s="166"/>
      <c r="C719" s="166"/>
      <c r="K719" s="138"/>
    </row>
    <row r="720">
      <c r="B720" s="166"/>
      <c r="C720" s="166"/>
      <c r="K720" s="138"/>
    </row>
    <row r="721">
      <c r="B721" s="166"/>
      <c r="C721" s="166"/>
      <c r="K721" s="138"/>
    </row>
    <row r="722">
      <c r="B722" s="166"/>
      <c r="C722" s="166"/>
      <c r="K722" s="138"/>
    </row>
    <row r="723">
      <c r="B723" s="166"/>
      <c r="C723" s="166"/>
      <c r="K723" s="138"/>
    </row>
    <row r="724">
      <c r="B724" s="166"/>
      <c r="C724" s="166"/>
      <c r="K724" s="138"/>
    </row>
    <row r="725">
      <c r="B725" s="166"/>
      <c r="C725" s="166"/>
      <c r="K725" s="138"/>
    </row>
    <row r="726">
      <c r="B726" s="166"/>
      <c r="C726" s="166"/>
      <c r="K726" s="138"/>
    </row>
    <row r="727">
      <c r="B727" s="166"/>
      <c r="C727" s="166"/>
      <c r="K727" s="138"/>
    </row>
    <row r="728">
      <c r="B728" s="166"/>
      <c r="C728" s="166"/>
      <c r="K728" s="138"/>
    </row>
    <row r="729">
      <c r="B729" s="166"/>
      <c r="C729" s="166"/>
      <c r="K729" s="138"/>
    </row>
    <row r="730">
      <c r="B730" s="166"/>
      <c r="C730" s="166"/>
      <c r="K730" s="138"/>
    </row>
    <row r="731">
      <c r="B731" s="166"/>
      <c r="C731" s="166"/>
      <c r="K731" s="138"/>
    </row>
    <row r="732">
      <c r="B732" s="166"/>
      <c r="C732" s="166"/>
      <c r="K732" s="138"/>
    </row>
    <row r="733">
      <c r="B733" s="166"/>
      <c r="C733" s="166"/>
      <c r="K733" s="138"/>
    </row>
    <row r="734">
      <c r="B734" s="166"/>
      <c r="C734" s="166"/>
      <c r="K734" s="138"/>
    </row>
    <row r="735">
      <c r="B735" s="166"/>
      <c r="C735" s="166"/>
      <c r="K735" s="138"/>
    </row>
    <row r="736">
      <c r="B736" s="166"/>
      <c r="C736" s="166"/>
      <c r="K736" s="138"/>
    </row>
    <row r="737">
      <c r="B737" s="166"/>
      <c r="C737" s="166"/>
      <c r="K737" s="138"/>
    </row>
    <row r="738">
      <c r="B738" s="166"/>
      <c r="C738" s="166"/>
      <c r="K738" s="138"/>
    </row>
    <row r="739">
      <c r="B739" s="166"/>
      <c r="C739" s="166"/>
      <c r="K739" s="138"/>
    </row>
    <row r="740">
      <c r="B740" s="166"/>
      <c r="C740" s="166"/>
      <c r="K740" s="138"/>
    </row>
    <row r="741">
      <c r="B741" s="166"/>
      <c r="C741" s="166"/>
      <c r="K741" s="138"/>
    </row>
    <row r="742">
      <c r="B742" s="166"/>
      <c r="C742" s="166"/>
      <c r="K742" s="138"/>
    </row>
    <row r="743">
      <c r="B743" s="166"/>
      <c r="C743" s="166"/>
      <c r="K743" s="138"/>
    </row>
    <row r="744">
      <c r="B744" s="166"/>
      <c r="C744" s="166"/>
      <c r="K744" s="138"/>
    </row>
    <row r="745">
      <c r="B745" s="166"/>
      <c r="C745" s="166"/>
      <c r="K745" s="138"/>
    </row>
    <row r="746">
      <c r="B746" s="166"/>
      <c r="C746" s="166"/>
      <c r="K746" s="138"/>
    </row>
    <row r="747">
      <c r="B747" s="166"/>
      <c r="C747" s="166"/>
      <c r="K747" s="138"/>
    </row>
    <row r="748">
      <c r="B748" s="166"/>
      <c r="C748" s="166"/>
      <c r="K748" s="138"/>
    </row>
    <row r="749">
      <c r="B749" s="166"/>
      <c r="C749" s="166"/>
      <c r="K749" s="138"/>
    </row>
    <row r="750">
      <c r="B750" s="166"/>
      <c r="C750" s="166"/>
      <c r="K750" s="138"/>
    </row>
    <row r="751">
      <c r="B751" s="166"/>
      <c r="C751" s="166"/>
      <c r="K751" s="138"/>
    </row>
    <row r="752">
      <c r="B752" s="166"/>
      <c r="C752" s="166"/>
      <c r="K752" s="138"/>
    </row>
    <row r="753">
      <c r="B753" s="166"/>
      <c r="C753" s="166"/>
      <c r="K753" s="138"/>
    </row>
    <row r="754">
      <c r="B754" s="166"/>
      <c r="C754" s="166"/>
      <c r="K754" s="138"/>
    </row>
    <row r="755">
      <c r="B755" s="166"/>
      <c r="C755" s="166"/>
      <c r="K755" s="138"/>
    </row>
    <row r="756">
      <c r="B756" s="166"/>
      <c r="C756" s="166"/>
      <c r="K756" s="138"/>
    </row>
    <row r="757">
      <c r="B757" s="166"/>
      <c r="C757" s="166"/>
      <c r="K757" s="138"/>
    </row>
    <row r="758">
      <c r="B758" s="166"/>
      <c r="C758" s="166"/>
      <c r="K758" s="138"/>
    </row>
    <row r="759">
      <c r="B759" s="166"/>
      <c r="C759" s="166"/>
      <c r="K759" s="138"/>
    </row>
    <row r="760">
      <c r="B760" s="166"/>
      <c r="C760" s="166"/>
      <c r="K760" s="138"/>
    </row>
    <row r="761">
      <c r="B761" s="166"/>
      <c r="C761" s="166"/>
      <c r="K761" s="138"/>
    </row>
    <row r="762">
      <c r="B762" s="166"/>
      <c r="C762" s="166"/>
      <c r="K762" s="138"/>
    </row>
    <row r="763">
      <c r="B763" s="166"/>
      <c r="C763" s="166"/>
      <c r="K763" s="138"/>
    </row>
    <row r="764">
      <c r="B764" s="166"/>
      <c r="C764" s="166"/>
      <c r="K764" s="138"/>
    </row>
    <row r="765">
      <c r="B765" s="166"/>
      <c r="C765" s="166"/>
      <c r="K765" s="138"/>
    </row>
    <row r="766">
      <c r="B766" s="166"/>
      <c r="C766" s="166"/>
      <c r="K766" s="138"/>
    </row>
    <row r="767">
      <c r="B767" s="166"/>
      <c r="C767" s="166"/>
      <c r="K767" s="138"/>
    </row>
    <row r="768">
      <c r="B768" s="166"/>
      <c r="C768" s="166"/>
      <c r="K768" s="138"/>
    </row>
    <row r="769">
      <c r="B769" s="166"/>
      <c r="C769" s="166"/>
      <c r="K769" s="138"/>
    </row>
    <row r="770">
      <c r="B770" s="166"/>
      <c r="C770" s="166"/>
      <c r="K770" s="138"/>
    </row>
    <row r="771">
      <c r="B771" s="166"/>
      <c r="C771" s="166"/>
      <c r="K771" s="138"/>
    </row>
    <row r="772">
      <c r="B772" s="166"/>
      <c r="C772" s="166"/>
      <c r="K772" s="138"/>
    </row>
    <row r="773">
      <c r="B773" s="166"/>
      <c r="C773" s="166"/>
      <c r="K773" s="138"/>
    </row>
    <row r="774">
      <c r="B774" s="166"/>
      <c r="C774" s="166"/>
      <c r="K774" s="138"/>
    </row>
    <row r="775">
      <c r="B775" s="166"/>
      <c r="C775" s="166"/>
      <c r="K775" s="138"/>
    </row>
    <row r="776">
      <c r="B776" s="166"/>
      <c r="C776" s="166"/>
      <c r="K776" s="138"/>
    </row>
    <row r="777">
      <c r="B777" s="166"/>
      <c r="C777" s="166"/>
      <c r="K777" s="138"/>
    </row>
    <row r="778">
      <c r="B778" s="166"/>
      <c r="C778" s="166"/>
      <c r="K778" s="138"/>
    </row>
    <row r="779">
      <c r="B779" s="166"/>
      <c r="C779" s="166"/>
      <c r="K779" s="138"/>
    </row>
    <row r="780">
      <c r="B780" s="166"/>
      <c r="C780" s="166"/>
      <c r="K780" s="138"/>
    </row>
    <row r="781">
      <c r="B781" s="166"/>
      <c r="C781" s="166"/>
      <c r="K781" s="138"/>
    </row>
    <row r="782">
      <c r="B782" s="166"/>
      <c r="C782" s="166"/>
      <c r="K782" s="138"/>
    </row>
    <row r="783">
      <c r="B783" s="166"/>
      <c r="C783" s="166"/>
      <c r="K783" s="138"/>
    </row>
    <row r="784">
      <c r="B784" s="166"/>
      <c r="C784" s="166"/>
      <c r="K784" s="138"/>
    </row>
    <row r="785">
      <c r="B785" s="166"/>
      <c r="C785" s="166"/>
      <c r="K785" s="138"/>
    </row>
    <row r="786">
      <c r="B786" s="166"/>
      <c r="C786" s="166"/>
      <c r="K786" s="138"/>
    </row>
    <row r="787">
      <c r="B787" s="166"/>
      <c r="C787" s="166"/>
      <c r="K787" s="138"/>
    </row>
    <row r="788">
      <c r="B788" s="166"/>
      <c r="C788" s="166"/>
      <c r="K788" s="138"/>
    </row>
    <row r="789">
      <c r="B789" s="166"/>
      <c r="C789" s="166"/>
      <c r="K789" s="138"/>
    </row>
    <row r="790">
      <c r="B790" s="166"/>
      <c r="C790" s="166"/>
      <c r="K790" s="138"/>
    </row>
    <row r="791">
      <c r="B791" s="166"/>
      <c r="C791" s="166"/>
      <c r="K791" s="138"/>
    </row>
    <row r="792">
      <c r="B792" s="166"/>
      <c r="C792" s="166"/>
      <c r="K792" s="138"/>
    </row>
    <row r="793">
      <c r="B793" s="166"/>
      <c r="C793" s="166"/>
      <c r="K793" s="138"/>
    </row>
    <row r="794">
      <c r="B794" s="166"/>
      <c r="C794" s="166"/>
      <c r="K794" s="138"/>
    </row>
    <row r="795">
      <c r="B795" s="166"/>
      <c r="C795" s="166"/>
      <c r="K795" s="138"/>
    </row>
    <row r="796">
      <c r="B796" s="166"/>
      <c r="C796" s="166"/>
      <c r="K796" s="138"/>
    </row>
    <row r="797">
      <c r="B797" s="166"/>
      <c r="C797" s="166"/>
      <c r="K797" s="138"/>
    </row>
    <row r="798">
      <c r="B798" s="166"/>
      <c r="C798" s="166"/>
      <c r="K798" s="138"/>
    </row>
    <row r="799">
      <c r="B799" s="166"/>
      <c r="C799" s="166"/>
      <c r="K799" s="138"/>
    </row>
    <row r="800">
      <c r="B800" s="166"/>
      <c r="C800" s="166"/>
      <c r="K800" s="138"/>
    </row>
    <row r="801">
      <c r="B801" s="166"/>
      <c r="C801" s="166"/>
      <c r="K801" s="138"/>
    </row>
    <row r="802">
      <c r="B802" s="166"/>
      <c r="C802" s="166"/>
      <c r="K802" s="138"/>
    </row>
    <row r="803">
      <c r="B803" s="166"/>
      <c r="C803" s="166"/>
      <c r="K803" s="138"/>
    </row>
    <row r="804">
      <c r="B804" s="166"/>
      <c r="C804" s="166"/>
      <c r="K804" s="138"/>
    </row>
    <row r="805">
      <c r="B805" s="166"/>
      <c r="C805" s="166"/>
      <c r="K805" s="138"/>
    </row>
    <row r="806">
      <c r="B806" s="166"/>
      <c r="C806" s="166"/>
      <c r="K806" s="138"/>
    </row>
    <row r="807">
      <c r="B807" s="166"/>
      <c r="C807" s="166"/>
      <c r="K807" s="138"/>
    </row>
    <row r="808">
      <c r="B808" s="166"/>
      <c r="C808" s="166"/>
      <c r="K808" s="138"/>
    </row>
    <row r="809">
      <c r="B809" s="166"/>
      <c r="C809" s="166"/>
      <c r="K809" s="138"/>
    </row>
    <row r="810">
      <c r="B810" s="166"/>
      <c r="C810" s="166"/>
      <c r="K810" s="138"/>
    </row>
    <row r="811">
      <c r="B811" s="166"/>
      <c r="C811" s="166"/>
      <c r="K811" s="138"/>
    </row>
    <row r="812">
      <c r="B812" s="166"/>
      <c r="C812" s="166"/>
      <c r="K812" s="138"/>
    </row>
    <row r="813">
      <c r="B813" s="166"/>
      <c r="C813" s="166"/>
      <c r="K813" s="138"/>
    </row>
    <row r="814">
      <c r="B814" s="166"/>
      <c r="C814" s="166"/>
      <c r="K814" s="138"/>
    </row>
    <row r="815">
      <c r="B815" s="166"/>
      <c r="C815" s="166"/>
      <c r="K815" s="138"/>
    </row>
    <row r="816">
      <c r="B816" s="166"/>
      <c r="C816" s="166"/>
      <c r="K816" s="138"/>
    </row>
    <row r="817">
      <c r="B817" s="166"/>
      <c r="C817" s="166"/>
      <c r="K817" s="138"/>
    </row>
    <row r="818">
      <c r="B818" s="166"/>
      <c r="C818" s="166"/>
      <c r="K818" s="138"/>
    </row>
    <row r="819">
      <c r="B819" s="166"/>
      <c r="C819" s="166"/>
      <c r="K819" s="138"/>
    </row>
    <row r="820">
      <c r="B820" s="166"/>
      <c r="C820" s="166"/>
      <c r="K820" s="138"/>
    </row>
    <row r="821">
      <c r="B821" s="166"/>
      <c r="C821" s="166"/>
      <c r="K821" s="138"/>
    </row>
    <row r="822">
      <c r="B822" s="166"/>
      <c r="C822" s="166"/>
      <c r="K822" s="138"/>
    </row>
    <row r="823">
      <c r="B823" s="166"/>
      <c r="C823" s="166"/>
      <c r="K823" s="138"/>
    </row>
    <row r="824">
      <c r="B824" s="166"/>
      <c r="C824" s="166"/>
      <c r="K824" s="138"/>
    </row>
    <row r="825">
      <c r="B825" s="166"/>
      <c r="C825" s="166"/>
      <c r="K825" s="138"/>
    </row>
    <row r="826">
      <c r="B826" s="166"/>
      <c r="C826" s="166"/>
      <c r="K826" s="138"/>
    </row>
    <row r="827">
      <c r="B827" s="166"/>
      <c r="C827" s="166"/>
      <c r="K827" s="138"/>
    </row>
    <row r="828">
      <c r="B828" s="166"/>
      <c r="C828" s="166"/>
      <c r="K828" s="138"/>
    </row>
    <row r="829">
      <c r="B829" s="166"/>
      <c r="C829" s="166"/>
      <c r="K829" s="138"/>
    </row>
    <row r="830">
      <c r="B830" s="166"/>
      <c r="C830" s="166"/>
      <c r="K830" s="138"/>
    </row>
    <row r="831">
      <c r="B831" s="166"/>
      <c r="C831" s="166"/>
      <c r="K831" s="138"/>
    </row>
    <row r="832">
      <c r="B832" s="166"/>
      <c r="C832" s="166"/>
      <c r="K832" s="138"/>
    </row>
    <row r="833">
      <c r="B833" s="166"/>
      <c r="C833" s="166"/>
      <c r="K833" s="138"/>
    </row>
    <row r="834">
      <c r="B834" s="166"/>
      <c r="C834" s="166"/>
      <c r="K834" s="138"/>
    </row>
    <row r="835">
      <c r="B835" s="166"/>
      <c r="C835" s="166"/>
      <c r="K835" s="138"/>
    </row>
    <row r="836">
      <c r="B836" s="166"/>
      <c r="C836" s="166"/>
      <c r="K836" s="138"/>
    </row>
    <row r="837">
      <c r="B837" s="166"/>
      <c r="C837" s="166"/>
      <c r="K837" s="138"/>
    </row>
    <row r="838">
      <c r="B838" s="166"/>
      <c r="C838" s="166"/>
      <c r="K838" s="138"/>
    </row>
    <row r="839">
      <c r="B839" s="166"/>
      <c r="C839" s="166"/>
      <c r="K839" s="138"/>
    </row>
    <row r="840">
      <c r="B840" s="166"/>
      <c r="C840" s="166"/>
      <c r="K840" s="138"/>
    </row>
    <row r="841">
      <c r="B841" s="166"/>
      <c r="C841" s="166"/>
      <c r="K841" s="138"/>
    </row>
    <row r="842">
      <c r="B842" s="166"/>
      <c r="C842" s="166"/>
      <c r="K842" s="138"/>
    </row>
    <row r="843">
      <c r="B843" s="166"/>
      <c r="C843" s="166"/>
      <c r="K843" s="138"/>
    </row>
    <row r="844">
      <c r="B844" s="166"/>
      <c r="C844" s="166"/>
      <c r="K844" s="138"/>
    </row>
    <row r="845">
      <c r="B845" s="166"/>
      <c r="C845" s="166"/>
      <c r="K845" s="138"/>
    </row>
    <row r="846">
      <c r="B846" s="166"/>
      <c r="C846" s="166"/>
      <c r="K846" s="138"/>
    </row>
    <row r="847">
      <c r="B847" s="166"/>
      <c r="C847" s="166"/>
      <c r="K847" s="138"/>
    </row>
    <row r="848">
      <c r="B848" s="166"/>
      <c r="C848" s="166"/>
      <c r="K848" s="138"/>
    </row>
    <row r="849">
      <c r="B849" s="166"/>
      <c r="C849" s="166"/>
      <c r="K849" s="138"/>
    </row>
    <row r="850">
      <c r="B850" s="166"/>
      <c r="C850" s="166"/>
      <c r="K850" s="138"/>
    </row>
    <row r="851">
      <c r="B851" s="166"/>
      <c r="C851" s="166"/>
      <c r="K851" s="138"/>
    </row>
    <row r="852">
      <c r="B852" s="166"/>
      <c r="C852" s="166"/>
      <c r="K852" s="138"/>
    </row>
    <row r="853">
      <c r="B853" s="166"/>
      <c r="C853" s="166"/>
      <c r="K853" s="138"/>
    </row>
    <row r="854">
      <c r="B854" s="166"/>
      <c r="C854" s="166"/>
      <c r="K854" s="138"/>
    </row>
    <row r="855">
      <c r="B855" s="166"/>
      <c r="C855" s="166"/>
      <c r="K855" s="138"/>
    </row>
    <row r="856">
      <c r="B856" s="166"/>
      <c r="C856" s="166"/>
      <c r="K856" s="138"/>
    </row>
    <row r="857">
      <c r="B857" s="166"/>
      <c r="C857" s="166"/>
      <c r="K857" s="138"/>
    </row>
    <row r="858">
      <c r="B858" s="166"/>
      <c r="C858" s="166"/>
      <c r="K858" s="138"/>
    </row>
    <row r="859">
      <c r="B859" s="166"/>
      <c r="C859" s="166"/>
      <c r="K859" s="138"/>
    </row>
    <row r="860">
      <c r="B860" s="166"/>
      <c r="C860" s="166"/>
      <c r="K860" s="138"/>
    </row>
    <row r="861">
      <c r="B861" s="166"/>
      <c r="C861" s="166"/>
      <c r="K861" s="138"/>
    </row>
    <row r="862">
      <c r="B862" s="166"/>
      <c r="C862" s="166"/>
      <c r="K862" s="138"/>
    </row>
    <row r="863">
      <c r="B863" s="166"/>
      <c r="C863" s="166"/>
      <c r="K863" s="138"/>
    </row>
    <row r="864">
      <c r="B864" s="166"/>
      <c r="C864" s="166"/>
      <c r="K864" s="138"/>
    </row>
    <row r="865">
      <c r="B865" s="166"/>
      <c r="C865" s="166"/>
      <c r="K865" s="138"/>
    </row>
    <row r="866">
      <c r="B866" s="166"/>
      <c r="C866" s="166"/>
      <c r="K866" s="138"/>
    </row>
    <row r="867">
      <c r="B867" s="166"/>
      <c r="C867" s="166"/>
      <c r="K867" s="138"/>
    </row>
    <row r="868">
      <c r="B868" s="166"/>
      <c r="C868" s="166"/>
      <c r="K868" s="138"/>
    </row>
    <row r="869">
      <c r="B869" s="166"/>
      <c r="C869" s="166"/>
      <c r="K869" s="138"/>
    </row>
    <row r="870">
      <c r="B870" s="166"/>
      <c r="C870" s="166"/>
      <c r="K870" s="138"/>
    </row>
    <row r="871">
      <c r="B871" s="166"/>
      <c r="C871" s="166"/>
      <c r="K871" s="138"/>
    </row>
    <row r="872">
      <c r="B872" s="166"/>
      <c r="C872" s="166"/>
      <c r="K872" s="138"/>
    </row>
    <row r="873">
      <c r="B873" s="166"/>
      <c r="C873" s="166"/>
      <c r="K873" s="138"/>
    </row>
    <row r="874">
      <c r="B874" s="166"/>
      <c r="C874" s="166"/>
      <c r="K874" s="138"/>
    </row>
    <row r="875">
      <c r="B875" s="166"/>
      <c r="C875" s="166"/>
      <c r="K875" s="138"/>
    </row>
    <row r="876">
      <c r="B876" s="166"/>
      <c r="C876" s="166"/>
      <c r="K876" s="138"/>
    </row>
    <row r="877">
      <c r="B877" s="166"/>
      <c r="C877" s="166"/>
      <c r="K877" s="138"/>
    </row>
    <row r="878">
      <c r="B878" s="166"/>
      <c r="C878" s="166"/>
      <c r="K878" s="138"/>
    </row>
    <row r="879">
      <c r="B879" s="166"/>
      <c r="C879" s="166"/>
      <c r="K879" s="138"/>
    </row>
    <row r="880">
      <c r="B880" s="166"/>
      <c r="C880" s="166"/>
      <c r="K880" s="138"/>
    </row>
    <row r="881">
      <c r="B881" s="166"/>
      <c r="C881" s="166"/>
      <c r="K881" s="138"/>
    </row>
    <row r="882">
      <c r="B882" s="166"/>
      <c r="C882" s="166"/>
      <c r="K882" s="138"/>
    </row>
    <row r="883">
      <c r="B883" s="166"/>
      <c r="C883" s="166"/>
      <c r="K883" s="138"/>
    </row>
    <row r="884">
      <c r="B884" s="166"/>
      <c r="C884" s="166"/>
      <c r="K884" s="138"/>
    </row>
    <row r="885">
      <c r="B885" s="166"/>
      <c r="C885" s="166"/>
      <c r="K885" s="138"/>
    </row>
    <row r="886">
      <c r="B886" s="166"/>
      <c r="C886" s="166"/>
      <c r="K886" s="138"/>
    </row>
    <row r="887">
      <c r="B887" s="166"/>
      <c r="C887" s="166"/>
      <c r="K887" s="138"/>
    </row>
    <row r="888">
      <c r="B888" s="166"/>
      <c r="C888" s="166"/>
      <c r="K888" s="138"/>
    </row>
    <row r="889">
      <c r="B889" s="166"/>
      <c r="C889" s="166"/>
      <c r="K889" s="138"/>
    </row>
    <row r="890">
      <c r="B890" s="166"/>
      <c r="C890" s="166"/>
      <c r="K890" s="138"/>
    </row>
    <row r="891">
      <c r="B891" s="166"/>
      <c r="C891" s="166"/>
      <c r="K891" s="138"/>
    </row>
    <row r="892">
      <c r="B892" s="166"/>
      <c r="C892" s="166"/>
      <c r="K892" s="138"/>
    </row>
    <row r="893">
      <c r="B893" s="166"/>
      <c r="C893" s="166"/>
      <c r="K893" s="138"/>
    </row>
    <row r="894">
      <c r="B894" s="166"/>
      <c r="C894" s="166"/>
      <c r="K894" s="138"/>
    </row>
    <row r="895">
      <c r="B895" s="166"/>
      <c r="C895" s="166"/>
      <c r="K895" s="138"/>
    </row>
    <row r="896">
      <c r="B896" s="166"/>
      <c r="C896" s="166"/>
      <c r="K896" s="138"/>
    </row>
    <row r="897">
      <c r="B897" s="166"/>
      <c r="C897" s="166"/>
      <c r="K897" s="138"/>
    </row>
    <row r="898">
      <c r="B898" s="166"/>
      <c r="C898" s="166"/>
      <c r="K898" s="138"/>
    </row>
  </sheetData>
  <autoFilter ref="$A$1:$AJ$898">
    <filterColumn colId="6">
      <filters blank="1">
        <filter val="Working with"/>
      </filters>
    </filterColumn>
    <sortState ref="A1:AJ898">
      <sortCondition ref="A1:A898"/>
      <sortCondition ref="B1:B898"/>
    </sortState>
  </autoFilter>
  <conditionalFormatting sqref="G2:G70">
    <cfRule type="cellIs" dxfId="0" priority="1" operator="equal">
      <formula>"Working with"</formula>
    </cfRule>
  </conditionalFormatting>
  <conditionalFormatting sqref="G2:G70">
    <cfRule type="cellIs" dxfId="1" priority="2" operator="equal">
      <formula>"Dropped"</formula>
    </cfRule>
  </conditionalFormatting>
  <conditionalFormatting sqref="O2:P6 P9:P22 O10:O26 P24 O29:P70">
    <cfRule type="colorScale" priority="3">
      <colorScale>
        <cfvo type="min"/>
        <cfvo type="max"/>
        <color rgb="FFFFFFFF"/>
        <color rgb="FF57BB8A"/>
      </colorScale>
    </cfRule>
  </conditionalFormatting>
  <dataValidations>
    <dataValidation type="list" allowBlank="1" showErrorMessage="1" sqref="G2:G70">
      <formula1>"Working with,Dropped,Dropped park,Excluded from intervention"</formula1>
    </dataValidation>
  </dataValidation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2025-10-31T06:57:06Z</dcterms:created>
  <dc:creator>Nalubulwa Sumayiya</dc:creator>
</cp:coreProperties>
</file>